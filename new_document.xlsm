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240" yWindow="15" windowWidth="16095" windowHeight="9660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Alignment="1" applyProtection="1">
      <alignment vertical="top"/>
      <protection locked="0" hidden="0"/>
    </xf>
  </cellStyleXfs>
  <cellXfs count="2">
    <xf numFmtId="0" fontId="0" fillId="0" borderId="0" pivotButton="0" quotePrefix="0" xfId="0"/>
    <xf numFmtId="0" fontId="1" fillId="0" borderId="0" pivotButton="0" quotePrefix="0" xfId="1"/>
  </cellXfs>
  <cellStyles count="2">
    <cellStyle name="Normal" xfId="0" builtinId="0"/>
    <cellStyle name="Hyperlink" xfId="1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/api/1/fetch/prod-0e85761c-5103-4ad0-8074-47c295f691cf/invoice/E-VOIZ-2022-22466-1653907065952.pdf/" TargetMode="External" Id="rId1" /><Relationship Type="http://schemas.openxmlformats.org/officeDocument/2006/relationships/hyperlink" Target="/api/1/fetch/prod-0e85761c-5103-4ad0-8074-47c295f691cf/invoice/INV08553463_1958710_05272022-1653749581076.pdf/" TargetMode="External" Id="rId2" /><Relationship Type="http://schemas.openxmlformats.org/officeDocument/2006/relationships/hyperlink" Target="/api/1/fetch/prod-0e85761c-5103-4ad0-8074-47c295f691cf/invoice/4151185719-1654151293044.pdf/" TargetMode="External" Id="rId3" /><Relationship Type="http://schemas.openxmlformats.org/officeDocument/2006/relationships/hyperlink" Target="/api/1/fetch/prod-0e85761c-5103-4ad0-8074-47c295f691cf/invoice/SC-2022-36-1654092011417.pdf/" TargetMode="External" Id="rId4" /><Relationship Type="http://schemas.openxmlformats.org/officeDocument/2006/relationships/hyperlink" Target="/api/1/fetch/prod-0e85761c-5103-4ad0-8074-47c295f691cf/invoice/117c35fd-ed74-41c1-a422-4532237af542-1654190877058.pdf/" TargetMode="External" Id="rId5" /><Relationship Type="http://schemas.openxmlformats.org/officeDocument/2006/relationships/hyperlink" Target="/api/1/fetch/prod-0e85761c-5103-4ad0-8074-47c295f691cf/invoice/SwiftScan-2022.-Jun-6.-17.36-1654530034056.pdf/" TargetMode="External" Id="rId6" /><Relationship Type="http://schemas.openxmlformats.org/officeDocument/2006/relationships/hyperlink" Target="/api/1/fetch/prod-0e85761c-5103-4ad0-8074-47c295f691cf/invoice/E-KBOSS-2022-244538-1653117598718.pdf/" TargetMode="External" Id="rId7" /><Relationship Type="http://schemas.openxmlformats.org/officeDocument/2006/relationships/hyperlink" Target="/api/1/fetch/prod-0e85761c-5103-4ad0-8074-47c295f691cf/invoice/closte_receipt_6286cd28c1ac183cb0345168-1654022901240.pdf/" TargetMode="External" Id="rId8" /><Relationship Type="http://schemas.openxmlformats.org/officeDocument/2006/relationships/hyperlink" Target="/api/1/fetch/prod-0e85761c-5103-4ad0-8074-47c295f691cf/invoice/GOD-2022-442-1654531041227.pdf/" TargetMode="External" Id="rId9" /><Relationship Type="http://schemas.openxmlformats.org/officeDocument/2006/relationships/hyperlink" Target="/api/1/fetch/prod-0e85761c-5103-4ad0-8074-47c295f691cf/invoice/SwiftScan-2022.-Jun-6.-18.01-1654531428013.pdf/" TargetMode="External" Id="rId10" /><Relationship Type="http://schemas.openxmlformats.org/officeDocument/2006/relationships/hyperlink" Target="/api/1/fetch/prod-0e85761c-5103-4ad0-8074-47c295f691cf/invoice/SwiftScan-2022.-Jun-6.-18.00-1654531336690.pdf/" TargetMode="External" Id="rId11" /><Relationship Type="http://schemas.openxmlformats.org/officeDocument/2006/relationships/hyperlink" Target="/api/1/fetch/prod-0e85761c-5103-4ad0-8074-47c295f691cf/invoice/E-PONT-2022-1002-1653906973478.pdf/" TargetMode="External" Id="rId12" /><Relationship Type="http://schemas.openxmlformats.org/officeDocument/2006/relationships/hyperlink" Target="/api/1/fetch/prod-0e85761c-5103-4ad0-8074-47c295f691cf/invoice/Output_2022_5_20220510_HU-107723-SLI-223865-20220510-1652247819271.PDF/" TargetMode="External" Id="rId13" /><Relationship Type="http://schemas.openxmlformats.org/officeDocument/2006/relationships/hyperlink" Target="/api/1/fetch/prod-0e85761c-5103-4ad0-8074-47c295f691cf/invoice/E-2022-100-1652786424857.pdf/" TargetMode="External" Id="rId14" /><Relationship Type="http://schemas.openxmlformats.org/officeDocument/2006/relationships/hyperlink" Target="/api/1/fetch/prod-0e85761c-5103-4ad0-8074-47c295f691cf/invoice/E-SZTNK-2022-17-1653571394745.pdf/" TargetMode="External" Id="rId15" /><Relationship Type="http://schemas.openxmlformats.org/officeDocument/2006/relationships/hyperlink" Target="/api/1/fetch/prod-0e85761c-5103-4ad0-8074-47c295f691cf/invoice/MZV-2022-197-1652112396677.pdf/" TargetMode="External" Id="rId16" /><Relationship Type="http://schemas.openxmlformats.org/officeDocument/2006/relationships/hyperlink" Target="/api/1/fetch/prod-0e85761c-5103-4ad0-8074-47c295f691cf/invoice/2022-majus-folias-juci-kft-jncsv-2022-28-1652250743406.pdf/" TargetMode="External" Id="rId17" /><Relationship Type="http://schemas.openxmlformats.org/officeDocument/2006/relationships/hyperlink" Target="/api/1/fetch/prod-0e85761c-5103-4ad0-8074-47c295f691cf/invoice/Lamarzol-Kft.-2022.05.17.-szamla-2022-3-1652797125150.pdf/" TargetMode="External" Id="rId18" /><Relationship Type="http://schemas.openxmlformats.org/officeDocument/2006/relationships/hyperlink" Target="/api/1/fetch/prod-0e85761c-5103-4ad0-8074-47c295f691cf/invoice/VSz-2022-00254-Folias-Juci-kft_1-1651750219988.pdf/" TargetMode="External" Id="rId19" /><Relationship Type="http://schemas.openxmlformats.org/officeDocument/2006/relationships/hyperlink" Target="/api/1/fetch/prod-0e85761c-5103-4ad0-8074-47c295f691cf/invoice/IJA-2022-1363-1652939289921.pdf/" TargetMode="External" Id="rId20" /><Relationship Type="http://schemas.openxmlformats.org/officeDocument/2006/relationships/hyperlink" Target="/api/1/fetch/prod-0e85761c-5103-4ad0-8074-47c295f691cf/invoice/4867bb18-b490-41a9-9f1c-d8038ac881f5-1652989895577.pdf/" TargetMode="External" Id="rId21" /><Relationship Type="http://schemas.openxmlformats.org/officeDocument/2006/relationships/hyperlink" Target="/api/1/fetch/prod-0e85761c-5103-4ad0-8074-47c295f691cf/invoice/SwiftScan-2022.-Jun-6.-17.50-1654530681869.pdf/" TargetMode="External" Id="rId22" /><Relationship Type="http://schemas.openxmlformats.org/officeDocument/2006/relationships/hyperlink" Target="/api/1/fetch/prod-0e85761c-5103-4ad0-8074-47c295f691cf/invoice/SwiftScan-2022.-Jun-9.-13.18-1654773655159.pdf/" TargetMode="External" Id="rId23" /><Relationship Type="http://schemas.openxmlformats.org/officeDocument/2006/relationships/hyperlink" Target="/api/1/fetch/prod-0e85761c-5103-4ad0-8074-47c295f691cf/invoice/IJA-2022-1306-1652446091636.pdf/" TargetMode="External" Id="rId24" /><Relationship Type="http://schemas.openxmlformats.org/officeDocument/2006/relationships/hyperlink" Target="/api/1/fetch/prod-0e85761c-5103-4ad0-8074-47c295f691cf/invoice/SwiftScan-2022.-Jun-6.-17.44-1654530291057.pdf/" TargetMode="External" Id="rId25" /><Relationship Type="http://schemas.openxmlformats.org/officeDocument/2006/relationships/hyperlink" Target="/api/1/fetch/prod-0e85761c-5103-4ad0-8074-47c295f691cf/invoice/SwiftScan-2022.-Jun-6.-17.40-1654530154608.pdf/" TargetMode="External" Id="rId26" /><Relationship Type="http://schemas.openxmlformats.org/officeDocument/2006/relationships/hyperlink" Target="/api/1/fetch/prod-0e85761c-5103-4ad0-8074-47c295f691cf/invoice/E-SZTNK-2022-16-1652349144927.pdf/" TargetMode="External" Id="rId27" /><Relationship Type="http://schemas.openxmlformats.org/officeDocument/2006/relationships/hyperlink" Target="/api/1/fetch/prod-0e85761c-5103-4ad0-8074-47c295f691cf/invoice/VSz-2022-00255-Folias-Juci-kft_1-1-1652104055165.pdf/" TargetMode="External" Id="rId28" /><Relationship Type="http://schemas.openxmlformats.org/officeDocument/2006/relationships/hyperlink" Target="/api/1/fetch/prod-0e85761c-5103-4ad0-8074-47c295f691cf/invoice/FGF-2022-332-1652102065496.pdf/" TargetMode="External" Id="rId29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Z109"/>
  <sheetViews>
    <sheetView tabSelected="1" workbookViewId="0">
      <selection activeCell="A1" sqref="A1"/>
    </sheetView>
  </sheetViews>
  <sheetFormatPr baseColWidth="8" defaultRowHeight="15"/>
  <sheetData>
    <row r="1">
      <c r="A1" t="inlineStr">
        <is>
          <t>Azonosító</t>
        </is>
      </c>
      <c r="B1" t="inlineStr">
        <is>
          <t>Hónap</t>
        </is>
      </c>
      <c r="C1" t="inlineStr">
        <is>
          <t>Date</t>
        </is>
      </c>
      <c r="D1" t="inlineStr">
        <is>
          <t>Partner</t>
        </is>
      </c>
      <c r="E1" t="inlineStr">
        <is>
          <t>Költségelem</t>
        </is>
      </c>
      <c r="F1" t="inlineStr">
        <is>
          <t>Ár</t>
        </is>
      </c>
      <c r="G1" t="inlineStr">
        <is>
          <t>Pénznem</t>
        </is>
      </c>
      <c r="H1" t="inlineStr">
        <is>
          <t>Átváltási ráta</t>
        </is>
      </c>
      <c r="I1" t="inlineStr">
        <is>
          <t>ÁFA (%)</t>
        </is>
      </c>
      <c r="J1" t="inlineStr">
        <is>
          <t>Összesen (HUF)</t>
        </is>
      </c>
      <c r="K1" t="inlineStr">
        <is>
          <t>Nettó össz.</t>
        </is>
      </c>
      <c r="L1" t="inlineStr">
        <is>
          <t>ÁFA érték</t>
        </is>
      </c>
      <c r="M1" t="inlineStr">
        <is>
          <t>Típus</t>
        </is>
      </c>
      <c r="N1" t="inlineStr">
        <is>
          <t>Pénztárca</t>
        </is>
      </c>
      <c r="O1" t="inlineStr">
        <is>
          <t>Költség osztály</t>
        </is>
      </c>
      <c r="P1" t="inlineStr">
        <is>
          <t>Iktatási állapot</t>
        </is>
      </c>
      <c r="Q1" t="inlineStr">
        <is>
          <t>Számla sorszáma</t>
        </is>
      </c>
      <c r="R1" t="inlineStr">
        <is>
          <t>Tranzakció üzenet</t>
        </is>
      </c>
      <c r="S1" t="inlineStr">
        <is>
          <t>Tranzakció partner fiók</t>
        </is>
      </c>
      <c r="T1" t="inlineStr">
        <is>
          <t>Tranzakció beszállító neve</t>
        </is>
      </c>
      <c r="U1" t="inlineStr">
        <is>
          <t>Tranzakció típusa</t>
        </is>
      </c>
      <c r="V1" t="inlineStr">
        <is>
          <t>Teljesítés dátuma</t>
        </is>
      </c>
      <c r="W1" t="inlineStr">
        <is>
          <t>Megjegyzések</t>
        </is>
      </c>
      <c r="X1" t="inlineStr">
        <is>
          <t>Tranzakció belső azonosító</t>
        </is>
      </c>
      <c r="Y1" t="inlineStr">
        <is>
          <t>Tranzakció külső azonosító</t>
        </is>
      </c>
      <c r="Z1" t="inlineStr">
        <is>
          <t>Megjegyzések</t>
        </is>
      </c>
    </row>
    <row r="2">
      <c r="A2" t="inlineStr">
        <is>
          <t>EXP-2022-002514</t>
        </is>
      </c>
      <c r="B2" t="inlineStr">
        <is>
          <t>2022-05</t>
        </is>
      </c>
      <c r="C2" t="inlineStr">
        <is>
          <t>2022-05-30</t>
        </is>
      </c>
      <c r="D2" t="inlineStr">
        <is>
          <t>Voiz Zrt</t>
        </is>
      </c>
      <c r="E2" t="inlineStr">
        <is>
          <t>Hangoskönyvtár előfizetés</t>
        </is>
      </c>
      <c r="F2" t="n">
        <v>4990</v>
      </c>
      <c r="G2" t="inlineStr">
        <is>
          <t>HUF</t>
        </is>
      </c>
      <c r="H2" t="n">
        <v>1</v>
      </c>
      <c r="I2" t="n">
        <v>27</v>
      </c>
      <c r="J2">
        <f>F2*H2</f>
        <v/>
      </c>
      <c r="K2">
        <f>(F2*H2) / ( 1 + I2 / 100)</f>
        <v/>
      </c>
      <c r="L2">
        <f>J2-K2</f>
        <v/>
      </c>
      <c r="M2" t="inlineStr">
        <is>
          <t>EGYÉB</t>
        </is>
      </c>
      <c r="N2" t="inlineStr">
        <is>
          <t>CIB MŰKÖDÉSI KÖLTSÉGEK (517)</t>
        </is>
      </c>
      <c r="O2" t="inlineStr">
        <is>
          <t>Magánfelhasználás</t>
        </is>
      </c>
      <c r="P2" t="inlineStr">
        <is>
          <t>Iktatva</t>
        </is>
      </c>
      <c r="Q2" s="1" t="inlineStr">
        <is>
          <t>4103</t>
        </is>
      </c>
      <c r="R2" t="inlineStr">
        <is>
          <t>4796 **** **** 6359 20220526 103424
4990.00 HUF
5735 947655HU  BUDAPEST
OTPMOBL VOIZ APP   022S0121 2382735</t>
        </is>
      </c>
      <c r="U2" t="inlineStr">
        <is>
          <t>KÁRTYATRANZAKCIÓ</t>
        </is>
      </c>
      <c r="V2" t="inlineStr">
        <is>
          <t>2022-05-30</t>
        </is>
      </c>
      <c r="W2" t="inlineStr">
        <is>
          <t>{'transaction_id': '', 'transaction_date': '2022.05.30', 'transaction_type': 'KÁRTYATRANZAKCIÓ', 'transaction_message': '4796 **** **** 6359 20220526 103424\n4990.00 HUF\n5735 947655HU  BUDAPEST\nOTPMOBL VOIZ APP   022S0121 2382735', 'transaction_cost_amount': -4990, 'transaction_cost_currency': 'HUF', 'transaction_supplier_name': '', 'transaction_partner_account': ''}</t>
        </is>
      </c>
    </row>
    <row r="3">
      <c r="A3" t="inlineStr">
        <is>
          <t>EXP-2022-002513</t>
        </is>
      </c>
      <c r="B3" t="inlineStr">
        <is>
          <t>2022-05</t>
        </is>
      </c>
      <c r="C3" t="inlineStr">
        <is>
          <t>2022-05-30</t>
        </is>
      </c>
      <c r="D3" t="inlineStr">
        <is>
          <t>Zendesk, Inc</t>
        </is>
      </c>
      <c r="E3" t="inlineStr">
        <is>
          <t>Online ügyfélszolgálat</t>
        </is>
      </c>
      <c r="F3" t="n">
        <v>11237.59</v>
      </c>
      <c r="G3" t="inlineStr">
        <is>
          <t>HUF</t>
        </is>
      </c>
      <c r="H3" t="n">
        <v>1</v>
      </c>
      <c r="I3" t="n">
        <v>0</v>
      </c>
      <c r="J3">
        <f>F3*H3</f>
        <v/>
      </c>
      <c r="K3">
        <f>(F3*H3) / ( 1 + I3 / 100)</f>
        <v/>
      </c>
      <c r="L3">
        <f>J3-K3</f>
        <v/>
      </c>
      <c r="M3" t="inlineStr">
        <is>
          <t>ÁLLANDÓ KÖLTSÉG</t>
        </is>
      </c>
      <c r="N3" t="inlineStr">
        <is>
          <t>CIB MŰKÖDÉSI KÖLTSÉGEK (517)</t>
        </is>
      </c>
      <c r="O3" t="inlineStr">
        <is>
          <t>Szoftver költség</t>
        </is>
      </c>
      <c r="P3" t="inlineStr">
        <is>
          <t>Iktatva</t>
        </is>
      </c>
      <c r="Q3" s="1" t="inlineStr">
        <is>
          <t>4069</t>
        </is>
      </c>
      <c r="R3" t="inlineStr">
        <is>
          <t>4796 **** **** 6359 20220527 130148
30.08 USD        30.08 USD
373.59 5734 241778IE  SAINT KEVINS
ZENDESK.COM - IRE  QU79LN59 0433836</t>
        </is>
      </c>
      <c r="U3" t="inlineStr">
        <is>
          <t>KÁRTYATRANZAKCIÓ</t>
        </is>
      </c>
      <c r="V3" t="inlineStr">
        <is>
          <t>2022-05-30</t>
        </is>
      </c>
      <c r="W3" t="inlineStr">
        <is>
          <t>{'transaction_id': '', 'transaction_date': '2022.05.30', 'transaction_type': 'KÁRTYATRANZAKCIÓ', 'transaction_message': '4796 **** **** 6359 20220527 130148\n30.08 USD        30.08 USD\n373.59 5734 241778IE  SAINT KEVINS\nZENDESK.COM - IRE  QU79LN59 0433836', 'transaction_cost_amount': -11237.59, 'transaction_cost_currency': 'HUF', 'transaction_supplier_name': '', 'transaction_partner_account': ''}</t>
        </is>
      </c>
    </row>
    <row r="4">
      <c r="A4" t="inlineStr">
        <is>
          <t>EXP-2022-002512</t>
        </is>
      </c>
      <c r="B4" t="inlineStr">
        <is>
          <t>2022-05</t>
        </is>
      </c>
      <c r="C4" t="inlineStr">
        <is>
          <t>2022-05-30</t>
        </is>
      </c>
      <c r="D4" t="inlineStr">
        <is>
          <t>Google Ireland Limited</t>
        </is>
      </c>
      <c r="E4" t="inlineStr">
        <is>
          <t>Ads hirdetési költség</t>
        </is>
      </c>
      <c r="F4" t="n">
        <v>1000000</v>
      </c>
      <c r="G4" t="inlineStr">
        <is>
          <t>HUF</t>
        </is>
      </c>
      <c r="H4" t="n">
        <v>1</v>
      </c>
      <c r="I4" t="n">
        <v>0</v>
      </c>
      <c r="J4">
        <f>F4*H4</f>
        <v/>
      </c>
      <c r="K4">
        <f>(F4*H4) / ( 1 + I4 / 100)</f>
        <v/>
      </c>
      <c r="L4">
        <f>J4-K4</f>
        <v/>
      </c>
      <c r="M4" t="inlineStr">
        <is>
          <t>ÁLLANDÓ KÖLTSÉG</t>
        </is>
      </c>
      <c r="N4" t="inlineStr">
        <is>
          <t>CIB MŰKÖDÉSI KÖLTSÉGEK (517)</t>
        </is>
      </c>
      <c r="O4" t="inlineStr">
        <is>
          <t>Hirdetési költség</t>
        </is>
      </c>
      <c r="P4" t="inlineStr">
        <is>
          <t>Iktatni</t>
        </is>
      </c>
      <c r="R4" t="inlineStr">
        <is>
          <t>4796 **** **** 6359 20220528 102003
1000000.00 HUF   1000000.00 HUF
7311 439983IE  INTERNET
GOOGLE  SERVICES   WPGTID01 1292680</t>
        </is>
      </c>
      <c r="U4" t="inlineStr">
        <is>
          <t>KÁRTYATRANZAKCIÓ</t>
        </is>
      </c>
      <c r="V4" t="inlineStr">
        <is>
          <t>2022-05-30</t>
        </is>
      </c>
      <c r="W4" t="inlineStr">
        <is>
          <t>{'transaction_id': '', 'transaction_date': '2022.05.30', 'transaction_type': 'KÁRTYATRANZAKCIÓ', 'transaction_message': '4796 **** **** 6359 20220528 102003\n1000000.00 HUF   1000000.00 HUF\n7311 439983IE  INTERNET\nGOOGLE  SERVICES   WPGTID01 1292680', 'transaction_cost_amount': -1000000, 'transaction_cost_currency': 'HUF', 'transaction_supplier_name': '', 'transaction_partner_account': ''}</t>
        </is>
      </c>
    </row>
    <row r="5">
      <c r="A5" t="inlineStr">
        <is>
          <t>EXP-2022-002511</t>
        </is>
      </c>
      <c r="B5" t="inlineStr">
        <is>
          <t>2022-05</t>
        </is>
      </c>
      <c r="C5" t="inlineStr">
        <is>
          <t>2022-05-31</t>
        </is>
      </c>
      <c r="D5" t="inlineStr">
        <is>
          <t>CIB Bank</t>
        </is>
      </c>
      <c r="E5" t="inlineStr">
        <is>
          <t>Díj, kamat</t>
        </is>
      </c>
      <c r="F5" t="n">
        <v>210</v>
      </c>
      <c r="G5" t="inlineStr">
        <is>
          <t>HUF</t>
        </is>
      </c>
      <c r="H5" t="n">
        <v>1</v>
      </c>
      <c r="I5" t="n">
        <v>0</v>
      </c>
      <c r="J5">
        <f>F5*H5</f>
        <v/>
      </c>
      <c r="K5">
        <f>(F5*H5) / ( 1 + I5 / 100)</f>
        <v/>
      </c>
      <c r="L5">
        <f>J5-K5</f>
        <v/>
      </c>
      <c r="M5" t="inlineStr">
        <is>
          <t>ÁLLANDÓ KÖLTSÉG</t>
        </is>
      </c>
      <c r="N5" t="inlineStr">
        <is>
          <t>CIB MŰKÖDÉSI KÖLTSÉGEK (517)</t>
        </is>
      </c>
      <c r="O5" t="inlineStr">
        <is>
          <t>Banki költség</t>
        </is>
      </c>
      <c r="P5" t="inlineStr">
        <is>
          <t>Nem kell iktatni</t>
        </is>
      </c>
      <c r="R5" t="inlineStr">
        <is>
          <t>TI-Pénzforgalmi díj
TILTIFHT2SB_CB3           H04v</t>
        </is>
      </c>
      <c r="U5" t="inlineStr">
        <is>
          <t>DÍJ, KAMAT</t>
        </is>
      </c>
      <c r="V5" t="inlineStr">
        <is>
          <t>2022-05-31</t>
        </is>
      </c>
      <c r="W5" t="inlineStr">
        <is>
          <t>{'transaction_id': '', 'transaction_date': '2022.05.31', 'transaction_type': 'DÍJ, KAMAT', 'transaction_message': 'TI-Pénzforgalmi díj\nTILTIFHT2SB_CB3           H04v', 'transaction_cost_amount': -210, 'transaction_cost_currency': 'HUF', 'transaction_supplier_name': '', 'transaction_partner_account': ''}</t>
        </is>
      </c>
    </row>
    <row r="6">
      <c r="A6" t="inlineStr">
        <is>
          <t>EXP-2022-002510</t>
        </is>
      </c>
      <c r="B6" t="inlineStr">
        <is>
          <t>2022-06</t>
        </is>
      </c>
      <c r="C6" t="inlineStr">
        <is>
          <t>2022-06-01</t>
        </is>
      </c>
      <c r="D6" t="inlineStr">
        <is>
          <t>Facebook</t>
        </is>
      </c>
      <c r="E6" t="inlineStr">
        <is>
          <t>Fizetett hirdetés</t>
        </is>
      </c>
      <c r="F6" t="n">
        <v>250000</v>
      </c>
      <c r="G6" t="inlineStr">
        <is>
          <t>HUF</t>
        </is>
      </c>
      <c r="H6" t="n">
        <v>1</v>
      </c>
      <c r="I6" t="n">
        <v>0</v>
      </c>
      <c r="J6">
        <f>F6*H6</f>
        <v/>
      </c>
      <c r="K6">
        <f>(F6*H6) / ( 1 + I6 / 100)</f>
        <v/>
      </c>
      <c r="L6">
        <f>J6-K6</f>
        <v/>
      </c>
      <c r="M6" t="inlineStr">
        <is>
          <t>ÁLLANDÓ KÖLTSÉG</t>
        </is>
      </c>
      <c r="N6" t="inlineStr">
        <is>
          <t>CIB MŰKÖDÉSI KÖLTSÉGEK (517)</t>
        </is>
      </c>
      <c r="O6" t="inlineStr">
        <is>
          <t>Hirdetési költség</t>
        </is>
      </c>
      <c r="P6" t="inlineStr">
        <is>
          <t>Iktatni</t>
        </is>
      </c>
      <c r="R6" t="inlineStr">
        <is>
          <t>4796 **** **** 6359 20220530 212014
250000.00 HUF    250000.00 HUF
7311 955581IE  fb.me/ads
FACEBK  BETHVDP7B2          4820023</t>
        </is>
      </c>
      <c r="U6" t="inlineStr">
        <is>
          <t>KÁRTYATRANZAKCIÓ</t>
        </is>
      </c>
      <c r="V6" t="inlineStr">
        <is>
          <t>2022-06-01</t>
        </is>
      </c>
      <c r="W6" t="inlineStr">
        <is>
          <t>{'transaction_id': '', 'transaction_date': '2022.06.01', 'transaction_type': 'KÁRTYATRANZAKCIÓ', 'transaction_message': '4796 **** **** 6359 20220530 212014\n250000.00 HUF    250000.00 HUF\n7311 955581IE  fb.me/ads\nFACEBK  BETHVDP7B2          4820023', 'transaction_cost_amount': -250000, 'transaction_cost_currency': 'HUF', 'transaction_supplier_name': '', 'transaction_partner_account': ''}</t>
        </is>
      </c>
    </row>
    <row r="7">
      <c r="A7" t="inlineStr">
        <is>
          <t>EXP-2022-002509</t>
        </is>
      </c>
      <c r="B7" t="inlineStr">
        <is>
          <t>2022-06</t>
        </is>
      </c>
      <c r="C7" t="inlineStr">
        <is>
          <t>2022-06-02</t>
        </is>
      </c>
      <c r="D7" t="inlineStr">
        <is>
          <t>Facebook</t>
        </is>
      </c>
      <c r="E7" t="inlineStr">
        <is>
          <t>Fizetett hirdetés</t>
        </is>
      </c>
      <c r="F7" t="n">
        <v>4066</v>
      </c>
      <c r="G7" t="inlineStr">
        <is>
          <t>HUF</t>
        </is>
      </c>
      <c r="H7" t="n">
        <v>1</v>
      </c>
      <c r="I7" t="n">
        <v>0</v>
      </c>
      <c r="J7">
        <f>F7*H7</f>
        <v/>
      </c>
      <c r="K7">
        <f>(F7*H7) / ( 1 + I7 / 100)</f>
        <v/>
      </c>
      <c r="L7">
        <f>J7-K7</f>
        <v/>
      </c>
      <c r="M7" t="inlineStr">
        <is>
          <t>ÁLLANDÓ KÖLTSÉG</t>
        </is>
      </c>
      <c r="N7" t="inlineStr">
        <is>
          <t>CIB MŰKÖDÉSI KÖLTSÉGEK (517)</t>
        </is>
      </c>
      <c r="O7" t="inlineStr">
        <is>
          <t>Hirdetési költség</t>
        </is>
      </c>
      <c r="P7" t="inlineStr">
        <is>
          <t>Iktatni</t>
        </is>
      </c>
      <c r="R7" t="inlineStr">
        <is>
          <t>4796 **** **** 6359 20220601 010041
4066.00 HUF      4066.00 HUF
7311 190312IE  fb.me/ads
FACEBK  AK69JC77B2          7684068</t>
        </is>
      </c>
      <c r="U7" t="inlineStr">
        <is>
          <t>KÁRTYATRANZAKCIÓ</t>
        </is>
      </c>
      <c r="V7" t="inlineStr">
        <is>
          <t>2022-06-02</t>
        </is>
      </c>
      <c r="W7" t="inlineStr">
        <is>
          <t>{'transaction_id': '', 'transaction_date': '2022.06.02', 'transaction_type': 'KÁRTYATRANZAKCIÓ', 'transaction_message': '4796 **** **** 6359 20220601 010041\n4066.00 HUF      4066.00 HUF\n7311 190312IE  fb.me/ads\nFACEBK  AK69JC77B2          7684068', 'transaction_cost_amount': -4066, 'transaction_cost_currency': 'HUF', 'transaction_supplier_name': '', 'transaction_partner_account': ''}</t>
        </is>
      </c>
    </row>
    <row r="8">
      <c r="A8" t="inlineStr">
        <is>
          <t>EXP-2022-002508</t>
        </is>
      </c>
      <c r="B8" t="inlineStr">
        <is>
          <t>2022-06</t>
        </is>
      </c>
      <c r="C8" t="inlineStr">
        <is>
          <t>2022-06-02</t>
        </is>
      </c>
      <c r="F8" t="n">
        <v>46392</v>
      </c>
      <c r="G8" t="inlineStr">
        <is>
          <t>HUF</t>
        </is>
      </c>
      <c r="H8" t="n">
        <v>1</v>
      </c>
      <c r="I8" t="n">
        <v>27</v>
      </c>
      <c r="J8">
        <f>F8*H8</f>
        <v/>
      </c>
      <c r="K8">
        <f>(F8*H8) / ( 1 + I8 / 100)</f>
        <v/>
      </c>
      <c r="L8">
        <f>J8-K8</f>
        <v/>
      </c>
      <c r="N8" t="inlineStr">
        <is>
          <t>CIB MŰKÖDÉSI KÖLTSÉGEK (517)</t>
        </is>
      </c>
      <c r="P8" t="inlineStr">
        <is>
          <t>Ismeretlen</t>
        </is>
      </c>
      <c r="R8" t="inlineStr">
        <is>
          <t>4796 **** **** 6359 20220531 123404
46392.00 HUF
4214 052073HU  BUDAPEST
DPD KOZPONT        35001434 1258473</t>
        </is>
      </c>
      <c r="U8" t="inlineStr">
        <is>
          <t>KÁRTYATRANZAKCIÓ</t>
        </is>
      </c>
      <c r="V8" t="inlineStr">
        <is>
          <t>2022-06-02</t>
        </is>
      </c>
      <c r="W8" t="inlineStr">
        <is>
          <t>{'transaction_id': '', 'transaction_date': '2022.06.02', 'transaction_type': 'KÁRTYATRANZAKCIÓ', 'transaction_message': '4796 **** **** 6359 20220531 123404\n46392.00 HUF\n4214 052073HU  BUDAPEST\nDPD KOZPONT        35001434 1258473', 'transaction_cost_amount': -46392, 'transaction_cost_currency': 'HUF', 'transaction_supplier_name': '', 'transaction_partner_account': ''}</t>
        </is>
      </c>
    </row>
    <row r="9">
      <c r="A9" t="inlineStr">
        <is>
          <t>EXP-2022-002507</t>
        </is>
      </c>
      <c r="B9" t="inlineStr">
        <is>
          <t>2022-06</t>
        </is>
      </c>
      <c r="C9" t="inlineStr">
        <is>
          <t>2022-06-03</t>
        </is>
      </c>
      <c r="D9" t="inlineStr">
        <is>
          <t>Google Ireland Limited</t>
        </is>
      </c>
      <c r="E9" t="inlineStr">
        <is>
          <t>G-Suite</t>
        </is>
      </c>
      <c r="F9" t="n">
        <v>10488.66</v>
      </c>
      <c r="G9" t="inlineStr">
        <is>
          <t>HUF</t>
        </is>
      </c>
      <c r="H9" t="n">
        <v>1</v>
      </c>
      <c r="I9" t="n">
        <v>27</v>
      </c>
      <c r="J9">
        <f>F9*H9</f>
        <v/>
      </c>
      <c r="K9">
        <f>(F9*H9) / ( 1 + I9 / 100)</f>
        <v/>
      </c>
      <c r="L9">
        <f>J9-K9</f>
        <v/>
      </c>
      <c r="M9" t="inlineStr">
        <is>
          <t>ÁLLANDÓ KÖLTSÉG</t>
        </is>
      </c>
      <c r="N9" t="inlineStr">
        <is>
          <t>CIB MŰKÖDÉSI KÖLTSÉGEK (517)</t>
        </is>
      </c>
      <c r="O9" t="inlineStr">
        <is>
          <t>Szoftver költség</t>
        </is>
      </c>
      <c r="P9" t="inlineStr">
        <is>
          <t>Iktatva</t>
        </is>
      </c>
      <c r="Q9" s="1" t="inlineStr">
        <is>
          <t>4201</t>
        </is>
      </c>
      <c r="R9" t="inlineStr">
        <is>
          <t>4796 **** **** 6359 20220601 235827
26.00 EUR        26.00 EUR
403.41 7372 436708IE  Dublin
Google GSUITE_foli          7992585</t>
        </is>
      </c>
      <c r="U9" t="inlineStr">
        <is>
          <t>KÁRTYATRANZAKCIÓ</t>
        </is>
      </c>
      <c r="V9" t="inlineStr">
        <is>
          <t>2022-06-03</t>
        </is>
      </c>
      <c r="W9" t="inlineStr">
        <is>
          <t>{'transaction_id': '', 'transaction_date': '2022.06.03', 'transaction_type': 'KÁRTYATRANZAKCIÓ', 'transaction_message': '4796 **** **** 6359 20220601 235827\n26.00 EUR        26.00 EUR\n403.41 7372 436708IE  Dublin\nGoogle GSUITE_foli          7992585', 'transaction_cost_amount': -10488.66, 'transaction_cost_currency': 'HUF', 'transaction_supplier_name': '', 'transaction_partner_account': ''}</t>
        </is>
      </c>
    </row>
    <row r="10">
      <c r="A10" t="inlineStr">
        <is>
          <t>EXP-2022-002506</t>
        </is>
      </c>
      <c r="B10" t="inlineStr">
        <is>
          <t>2022-06</t>
        </is>
      </c>
      <c r="C10" t="inlineStr">
        <is>
          <t>2022-06-03</t>
        </is>
      </c>
      <c r="D10" t="inlineStr">
        <is>
          <t>MINICRM ZRT</t>
        </is>
      </c>
      <c r="E10" t="inlineStr">
        <is>
          <t>CRM szoftver bérlet</t>
        </is>
      </c>
      <c r="F10" t="n">
        <v>78205</v>
      </c>
      <c r="G10" t="inlineStr">
        <is>
          <t>HUF</t>
        </is>
      </c>
      <c r="H10" t="n">
        <v>1</v>
      </c>
      <c r="I10" t="n">
        <v>27</v>
      </c>
      <c r="J10">
        <f>F10*H10</f>
        <v/>
      </c>
      <c r="K10">
        <f>(F10*H10) / ( 1 + I10 / 100)</f>
        <v/>
      </c>
      <c r="L10">
        <f>J10-K10</f>
        <v/>
      </c>
      <c r="M10" t="inlineStr">
        <is>
          <t>ÁLLANDÓ KÖLTSÉG</t>
        </is>
      </c>
      <c r="N10" t="inlineStr">
        <is>
          <t>CIB MŰKÖDÉSI KÖLTSÉGEK (517)</t>
        </is>
      </c>
      <c r="O10" t="inlineStr">
        <is>
          <t>Szoftver költség</t>
        </is>
      </c>
      <c r="P10" t="inlineStr">
        <is>
          <t>Iktatni</t>
        </is>
      </c>
      <c r="R10" t="inlineStr">
        <is>
          <t>4796 **** **** 6359 20220601 131953
78205.00 HUF     78205.00 HUF
5734 301167HU  BUDAPEST
MINICRM ZRT.       33236847 7830007</t>
        </is>
      </c>
      <c r="U10" t="inlineStr">
        <is>
          <t>KÁRTYATRANZAKCIÓ</t>
        </is>
      </c>
      <c r="V10" t="inlineStr">
        <is>
          <t>2022-06-03</t>
        </is>
      </c>
      <c r="W10" t="inlineStr">
        <is>
          <t>{'transaction_id': '', 'transaction_date': '2022.06.03', 'transaction_type': 'KÁRTYATRANZAKCIÓ', 'transaction_message': '4796 **** **** 6359 20220601 131953\n78205.00 HUF     78205.00 HUF\n5734 301167HU  BUDAPEST\nMINICRM ZRT.       33236847 7830007', 'transaction_cost_amount': -78205, 'transaction_cost_currency': 'HUF', 'transaction_supplier_name': '', 'transaction_partner_account': ''}</t>
        </is>
      </c>
    </row>
    <row r="11">
      <c r="A11" t="inlineStr">
        <is>
          <t>EXP-2022-002505</t>
        </is>
      </c>
      <c r="B11" t="inlineStr">
        <is>
          <t>2022-06</t>
        </is>
      </c>
      <c r="C11" t="inlineStr">
        <is>
          <t>2022-06-03</t>
        </is>
      </c>
      <c r="D11" t="inlineStr">
        <is>
          <t>Schmidinger Csilla</t>
        </is>
      </c>
      <c r="E11" t="inlineStr">
        <is>
          <t>Papír írószer</t>
        </is>
      </c>
      <c r="F11" t="n">
        <v>2025</v>
      </c>
      <c r="G11" t="inlineStr">
        <is>
          <t>HUF</t>
        </is>
      </c>
      <c r="H11" t="n">
        <v>1</v>
      </c>
      <c r="I11" t="n">
        <v>27</v>
      </c>
      <c r="J11">
        <f>F11*H11</f>
        <v/>
      </c>
      <c r="K11">
        <f>(F11*H11) / ( 1 + I11 / 100)</f>
        <v/>
      </c>
      <c r="L11">
        <f>J11-K11</f>
        <v/>
      </c>
      <c r="M11" t="inlineStr">
        <is>
          <t>ÁLLANDÓ KÖLTSÉG</t>
        </is>
      </c>
      <c r="N11" t="inlineStr">
        <is>
          <t>CIB MŰKÖDÉSI KÖLTSÉGEK (517)</t>
        </is>
      </c>
      <c r="O11" t="inlineStr">
        <is>
          <t>Anyagköltség</t>
        </is>
      </c>
      <c r="P11" t="inlineStr">
        <is>
          <t>Iktatva</t>
        </is>
      </c>
      <c r="Q11" s="1" t="inlineStr">
        <is>
          <t>4168</t>
        </is>
      </c>
      <c r="R11" t="inlineStr">
        <is>
          <t>4796 **** **** 8958 20220601 101339
2025.00 HUF
5999 243935HU  Iklad
Schmidinger Csilla BP3H6280 5249650</t>
        </is>
      </c>
      <c r="U11" t="inlineStr">
        <is>
          <t>KÁRTYATRANZAKCIÓ</t>
        </is>
      </c>
      <c r="V11" t="inlineStr">
        <is>
          <t>2022-06-03</t>
        </is>
      </c>
      <c r="W11" t="inlineStr">
        <is>
          <t>{'transaction_id': '', 'transaction_date': '2022.06.03', 'transaction_type': 'KÁRTYATRANZAKCIÓ', 'transaction_message': '4796 **** **** 8958 20220601 101339\n2025.00 HUF\n5999 243935HU  Iklad\nSchmidinger Csilla BP3H6280 5249650', 'transaction_cost_amount': -2025, 'transaction_cost_currency': 'HUF', 'transaction_supplier_name': '', 'transaction_partner_account': ''}</t>
        </is>
      </c>
    </row>
    <row r="12">
      <c r="A12" t="inlineStr">
        <is>
          <t>EXP-2022-002504</t>
        </is>
      </c>
      <c r="B12" t="inlineStr">
        <is>
          <t>2022-06</t>
        </is>
      </c>
      <c r="C12" t="inlineStr">
        <is>
          <t>2022-06-03</t>
        </is>
      </c>
      <c r="D12" t="inlineStr">
        <is>
          <t>DigitalOcean</t>
        </is>
      </c>
      <c r="E12" t="inlineStr">
        <is>
          <t>Tárhely szolgáltatás</t>
        </is>
      </c>
      <c r="F12" t="n">
        <v>27954.16</v>
      </c>
      <c r="G12" t="inlineStr">
        <is>
          <t>HUF</t>
        </is>
      </c>
      <c r="H12" t="n">
        <v>1</v>
      </c>
      <c r="I12" t="n">
        <v>0</v>
      </c>
      <c r="J12">
        <f>F12*H12</f>
        <v/>
      </c>
      <c r="K12">
        <f>(F12*H12) / ( 1 + I12 / 100)</f>
        <v/>
      </c>
      <c r="L12">
        <f>J12-K12</f>
        <v/>
      </c>
      <c r="M12" t="inlineStr">
        <is>
          <t>ÁLLANDÓ KÖLTSÉG</t>
        </is>
      </c>
      <c r="N12" t="inlineStr">
        <is>
          <t>CIB MŰKÖDÉSI KÖLTSÉGEK (517)</t>
        </is>
      </c>
      <c r="O12" t="inlineStr">
        <is>
          <t>Szoftver költség</t>
        </is>
      </c>
      <c r="P12" t="inlineStr">
        <is>
          <t>Iktatni</t>
        </is>
      </c>
      <c r="R12" t="inlineStr">
        <is>
          <t>4796 **** **** 6359 20220601 122344
74.09 USD        74.09 USD
377.30 5734 283182NL  AMSTERDAM
DIGITALOCEAN.COM   KGIQHDDL 0601646</t>
        </is>
      </c>
      <c r="U12" t="inlineStr">
        <is>
          <t>KÁRTYATRANZAKCIÓ</t>
        </is>
      </c>
      <c r="V12" t="inlineStr">
        <is>
          <t>2022-06-03</t>
        </is>
      </c>
      <c r="W12" t="inlineStr">
        <is>
          <t>{'transaction_id': '', 'transaction_date': '2022.06.03', 'transaction_type': 'KÁRTYATRANZAKCIÓ', 'transaction_message': '4796 **** **** 6359 20220601 122344\n74.09 USD        74.09 USD\n377.30 5734 283182NL  AMSTERDAM\nDIGITALOCEAN.COM   KGIQHDDL 0601646', 'transaction_cost_amount': -27954.16, 'transaction_cost_currency': 'HUF', 'transaction_supplier_name': '', 'transaction_partner_account': ''}</t>
        </is>
      </c>
    </row>
    <row r="13">
      <c r="A13" t="inlineStr">
        <is>
          <t>EXP-2022-002503</t>
        </is>
      </c>
      <c r="B13" t="inlineStr">
        <is>
          <t>2022-06</t>
        </is>
      </c>
      <c r="C13" t="inlineStr">
        <is>
          <t>2022-06-03</t>
        </is>
      </c>
      <c r="D13" t="inlineStr">
        <is>
          <t>Webshop Partner Kft.</t>
        </is>
      </c>
      <c r="E13" t="inlineStr">
        <is>
          <t>Logisztikai szolgáltatás</t>
        </is>
      </c>
      <c r="F13" t="n">
        <v>2026022</v>
      </c>
      <c r="G13" t="inlineStr">
        <is>
          <t>HUF</t>
        </is>
      </c>
      <c r="H13" t="n">
        <v>1</v>
      </c>
      <c r="I13" t="n">
        <v>27</v>
      </c>
      <c r="J13">
        <f>F13*H13</f>
        <v/>
      </c>
      <c r="K13">
        <f>(F13*H13) / ( 1 + I13 / 100)</f>
        <v/>
      </c>
      <c r="L13">
        <f>J13-K13</f>
        <v/>
      </c>
      <c r="M13" t="inlineStr">
        <is>
          <t>VÁLTOZÓ KÖLTSÉG</t>
        </is>
      </c>
      <c r="N13" t="inlineStr">
        <is>
          <t>CIB BEVÉTELI SZÁMLA (511)</t>
        </is>
      </c>
      <c r="O13" t="inlineStr">
        <is>
          <t>Logisztikai</t>
        </is>
      </c>
      <c r="P13" t="inlineStr">
        <is>
          <t>Iktatni</t>
        </is>
      </c>
      <c r="R13" t="inlineStr">
        <is>
          <t>64700124-16877012
Webshop Partner kft
Közlemény: 2022-390</t>
        </is>
      </c>
      <c r="U13" t="inlineStr">
        <is>
          <t>ÁTUTALÁS</t>
        </is>
      </c>
      <c r="V13" t="inlineStr">
        <is>
          <t>2022-06-03</t>
        </is>
      </c>
      <c r="W13" t="inlineStr">
        <is>
          <t>{'transaction_id': '', 'transaction_date': '2022.06.03', 'transaction_type': 'ÁTUTALÁS', 'transaction_message': '64700124-16877012\nWebshop Partner kft\nKözlemény: 2022-390', 'transaction_cost_amount': -2026022, 'transaction_cost_currency': 'HUF', 'transaction_supplier_name': '', 'transaction_partner_account': ''}</t>
        </is>
      </c>
    </row>
    <row r="14">
      <c r="A14" t="inlineStr">
        <is>
          <t>EXP-2022-002502</t>
        </is>
      </c>
      <c r="B14" t="inlineStr">
        <is>
          <t>2022-06</t>
        </is>
      </c>
      <c r="C14" t="inlineStr">
        <is>
          <t>2022-06-03</t>
        </is>
      </c>
      <c r="D14" t="inlineStr">
        <is>
          <t>CIB Bank</t>
        </is>
      </c>
      <c r="E14" t="inlineStr">
        <is>
          <t>Átutalás díja</t>
        </is>
      </c>
      <c r="F14" t="n">
        <v>871.1900000000001</v>
      </c>
      <c r="G14" t="inlineStr">
        <is>
          <t>HUF</t>
        </is>
      </c>
      <c r="H14" t="n">
        <v>1</v>
      </c>
      <c r="I14" t="n">
        <v>0</v>
      </c>
      <c r="J14">
        <f>F14*H14</f>
        <v/>
      </c>
      <c r="K14">
        <f>(F14*H14) / ( 1 + I14 / 100)</f>
        <v/>
      </c>
      <c r="L14">
        <f>J14-K14</f>
        <v/>
      </c>
      <c r="M14" t="inlineStr">
        <is>
          <t>ÁLLANDÓ KÖLTSÉG</t>
        </is>
      </c>
      <c r="N14" t="inlineStr">
        <is>
          <t>CIB BEVÉTELI SZÁMLA (511)</t>
        </is>
      </c>
      <c r="O14" t="inlineStr">
        <is>
          <t>Banki költség</t>
        </is>
      </c>
      <c r="P14" t="inlineStr">
        <is>
          <t>Nem kell iktatni</t>
        </is>
      </c>
      <c r="R14" t="inlineStr">
        <is>
          <t>AD-Bankközi átutalás GIRO-n
HUF 871,19
CB3ADFKT1                 H02T</t>
        </is>
      </c>
      <c r="U14" t="inlineStr">
        <is>
          <t>DÍJ, KAMAT</t>
        </is>
      </c>
      <c r="V14" t="inlineStr">
        <is>
          <t>2022-06-03</t>
        </is>
      </c>
      <c r="W14" t="inlineStr">
        <is>
          <t>{'transaction_id': '', 'transaction_date': '2022.06.03', 'transaction_type': 'DÍJ, KAMAT', 'transaction_message': 'AD-Bankközi átutalás GIRO-n\nHUF 871,19\nCB3ADFKT1                 H02T', 'transaction_cost_amount': -871.19, 'transaction_cost_currency': 'HUF', 'transaction_supplier_name': '', 'transaction_partner_account': ''}</t>
        </is>
      </c>
    </row>
    <row r="15">
      <c r="A15" t="inlineStr">
        <is>
          <t>EXP-2022-002501</t>
        </is>
      </c>
      <c r="B15" t="inlineStr">
        <is>
          <t>2022-06</t>
        </is>
      </c>
      <c r="C15" t="inlineStr">
        <is>
          <t>2022-06-03</t>
        </is>
      </c>
      <c r="D15" t="inlineStr">
        <is>
          <t>Földi-Hermann Gabriella</t>
        </is>
      </c>
      <c r="E15" t="inlineStr">
        <is>
          <t>Munkabér</t>
        </is>
      </c>
      <c r="F15" t="n">
        <v>36000</v>
      </c>
      <c r="G15" t="inlineStr">
        <is>
          <t>HUF</t>
        </is>
      </c>
      <c r="H15" t="n">
        <v>1</v>
      </c>
      <c r="I15" t="n">
        <v>0</v>
      </c>
      <c r="J15">
        <f>F15*H15</f>
        <v/>
      </c>
      <c r="K15">
        <f>(F15*H15) / ( 1 + I15 / 100)</f>
        <v/>
      </c>
      <c r="L15">
        <f>J15-K15</f>
        <v/>
      </c>
      <c r="M15" t="inlineStr">
        <is>
          <t>ÁLLANDÓ KÖLTSÉG</t>
        </is>
      </c>
      <c r="N15" t="inlineStr">
        <is>
          <t>CIB BEVÉTELI SZÁMLA (511)</t>
        </is>
      </c>
      <c r="O15" t="inlineStr">
        <is>
          <t>Bérköltség</t>
        </is>
      </c>
      <c r="P15" t="inlineStr">
        <is>
          <t>Nem kell iktatni</t>
        </is>
      </c>
      <c r="R15" t="inlineStr">
        <is>
          <t>12010453-01707586-00100001
Földi-Hermann Gabriella
Közlemény: munkabér</t>
        </is>
      </c>
      <c r="U15" t="inlineStr">
        <is>
          <t>ÁTUTALÁS</t>
        </is>
      </c>
      <c r="V15" t="inlineStr">
        <is>
          <t>2022-06-03</t>
        </is>
      </c>
      <c r="W15" t="inlineStr">
        <is>
          <t>{'transaction_id': '', 'transaction_date': '2022.06.03', 'transaction_type': 'ÁTUTALÁS', 'transaction_message': '12010453-01707586-00100001\nFöldi-Hermann Gabriella\nKözlemény: munkabér', 'transaction_cost_amount': -36000, 'transaction_cost_currency': 'HUF', 'transaction_supplier_name': '', 'transaction_partner_account': ''}</t>
        </is>
      </c>
    </row>
    <row r="16">
      <c r="A16" t="inlineStr">
        <is>
          <t>EXP-2022-002500</t>
        </is>
      </c>
      <c r="B16" t="inlineStr">
        <is>
          <t>2022-06</t>
        </is>
      </c>
      <c r="C16" t="inlineStr">
        <is>
          <t>2022-06-03</t>
        </is>
      </c>
      <c r="D16" t="inlineStr">
        <is>
          <t>CIB Bank</t>
        </is>
      </c>
      <c r="E16" t="inlineStr">
        <is>
          <t>Átutalás díja</t>
        </is>
      </c>
      <c r="F16" t="n">
        <v>83.25</v>
      </c>
      <c r="G16" t="inlineStr">
        <is>
          <t>HUF</t>
        </is>
      </c>
      <c r="H16" t="n">
        <v>1</v>
      </c>
      <c r="I16" t="n">
        <v>0</v>
      </c>
      <c r="J16">
        <f>F16*H16</f>
        <v/>
      </c>
      <c r="K16">
        <f>(F16*H16) / ( 1 + I16 / 100)</f>
        <v/>
      </c>
      <c r="L16">
        <f>J16-K16</f>
        <v/>
      </c>
      <c r="M16" t="inlineStr">
        <is>
          <t>ÁLLANDÓ KÖLTSÉG</t>
        </is>
      </c>
      <c r="N16" t="inlineStr">
        <is>
          <t>CIB BEVÉTELI SZÁMLA (511)</t>
        </is>
      </c>
      <c r="O16" t="inlineStr">
        <is>
          <t>Banki költség</t>
        </is>
      </c>
      <c r="P16" t="inlineStr">
        <is>
          <t>Nem kell iktatni</t>
        </is>
      </c>
      <c r="R16" t="inlineStr">
        <is>
          <t>AD-Bankközi átutalás GIRO-n
HUF 83,25
CB3ADFKT1                 H02V</t>
        </is>
      </c>
      <c r="U16" t="inlineStr">
        <is>
          <t>DÍJ, KAMAT</t>
        </is>
      </c>
      <c r="V16" t="inlineStr">
        <is>
          <t>2022-06-03</t>
        </is>
      </c>
      <c r="W16" t="inlineStr">
        <is>
          <t>{'transaction_id': '', 'transaction_date': '2022.06.03', 'transaction_type': 'DÍJ, KAMAT', 'transaction_message': 'AD-Bankközi átutalás GIRO-n\nHUF 83,25\nCB3ADFKT1                 H02V', 'transaction_cost_amount': -83.25, 'transaction_cost_currency': 'HUF', 'transaction_supplier_name': '', 'transaction_partner_account': ''}</t>
        </is>
      </c>
    </row>
    <row r="17">
      <c r="A17" t="inlineStr">
        <is>
          <t>EXP-2022-002499</t>
        </is>
      </c>
      <c r="B17" t="inlineStr">
        <is>
          <t>2022-06</t>
        </is>
      </c>
      <c r="C17" t="inlineStr">
        <is>
          <t>2022-06-03</t>
        </is>
      </c>
      <c r="D17" t="inlineStr">
        <is>
          <t>Todorovits Rea</t>
        </is>
      </c>
      <c r="E17" t="inlineStr">
        <is>
          <t>Kommunikáció, webáruház szöveg</t>
        </is>
      </c>
      <c r="F17" t="n">
        <v>27000</v>
      </c>
      <c r="G17" t="inlineStr">
        <is>
          <t>HUF</t>
        </is>
      </c>
      <c r="H17" t="n">
        <v>1</v>
      </c>
      <c r="I17" t="n">
        <v>27</v>
      </c>
      <c r="J17">
        <f>F17*H17</f>
        <v/>
      </c>
      <c r="K17">
        <f>(F17*H17) / ( 1 + I17 / 100)</f>
        <v/>
      </c>
      <c r="L17">
        <f>J17-K17</f>
        <v/>
      </c>
      <c r="M17" t="inlineStr">
        <is>
          <t>ÁLLANDÓ KÖLTSÉG</t>
        </is>
      </c>
      <c r="N17" t="inlineStr">
        <is>
          <t>CIB BEVÉTELI SZÁMLA (511)</t>
        </is>
      </c>
      <c r="O17" t="inlineStr">
        <is>
          <t>Egyéb szolgáltatás</t>
        </is>
      </c>
      <c r="P17" t="inlineStr">
        <is>
          <t>Iktatva</t>
        </is>
      </c>
      <c r="Q17" s="1" t="inlineStr">
        <is>
          <t>4269</t>
        </is>
      </c>
      <c r="R17" t="inlineStr">
        <is>
          <t>12600016-18685955-09142168
TODOROVITS REA
Közlemény: 2021-2021-187</t>
        </is>
      </c>
      <c r="U17" t="inlineStr">
        <is>
          <t>ÁTUTALÁS</t>
        </is>
      </c>
      <c r="V17" t="inlineStr">
        <is>
          <t>2022-06-03</t>
        </is>
      </c>
      <c r="W17" t="inlineStr">
        <is>
          <t>{'transaction_id': '', 'transaction_date': '2022.06.03', 'transaction_type': 'ÁTUTALÁS', 'transaction_message': '12600016-18685955-09142168\nTODOROVITS REA\nKözlemény: 2021-2021-187', 'transaction_cost_amount': -27000, 'transaction_cost_currency': 'HUF', 'transaction_supplier_name': '', 'transaction_partner_account': ''}</t>
        </is>
      </c>
    </row>
    <row r="18">
      <c r="A18" t="inlineStr">
        <is>
          <t>EXP-2022-002498</t>
        </is>
      </c>
      <c r="B18" t="inlineStr">
        <is>
          <t>2022-06</t>
        </is>
      </c>
      <c r="C18" t="inlineStr">
        <is>
          <t>2022-06-03</t>
        </is>
      </c>
      <c r="D18" t="inlineStr">
        <is>
          <t>CIB Bank</t>
        </is>
      </c>
      <c r="E18" t="inlineStr">
        <is>
          <t>Átutalás díja</t>
        </is>
      </c>
      <c r="F18" t="n">
        <v>83.25</v>
      </c>
      <c r="G18" t="inlineStr">
        <is>
          <t>HUF</t>
        </is>
      </c>
      <c r="H18" t="n">
        <v>1</v>
      </c>
      <c r="I18" t="n">
        <v>0</v>
      </c>
      <c r="J18">
        <f>F18*H18</f>
        <v/>
      </c>
      <c r="K18">
        <f>(F18*H18) / ( 1 + I18 / 100)</f>
        <v/>
      </c>
      <c r="L18">
        <f>J18-K18</f>
        <v/>
      </c>
      <c r="M18" t="inlineStr">
        <is>
          <t>ÁLLANDÓ KÖLTSÉG</t>
        </is>
      </c>
      <c r="N18" t="inlineStr">
        <is>
          <t>CIB BEVÉTELI SZÁMLA (511)</t>
        </is>
      </c>
      <c r="O18" t="inlineStr">
        <is>
          <t>Banki költség</t>
        </is>
      </c>
      <c r="P18" t="inlineStr">
        <is>
          <t>Nem kell iktatni</t>
        </is>
      </c>
      <c r="R18" t="inlineStr">
        <is>
          <t>AD-Bankközi átutalás GIRO-n
HUF 83,25
CB3ADFKT1                 H02X</t>
        </is>
      </c>
      <c r="U18" t="inlineStr">
        <is>
          <t>DÍJ, KAMAT</t>
        </is>
      </c>
      <c r="V18" t="inlineStr">
        <is>
          <t>2022-06-03</t>
        </is>
      </c>
      <c r="W18" t="inlineStr">
        <is>
          <t>{'transaction_id': '', 'transaction_date': '2022.06.03', 'transaction_type': 'DÍJ, KAMAT', 'transaction_message': 'AD-Bankközi átutalás GIRO-n\nHUF 83,25\nCB3ADFKT1                 H02X', 'transaction_cost_amount': -83.25, 'transaction_cost_currency': 'HUF', 'transaction_supplier_name': '', 'transaction_partner_account': ''}</t>
        </is>
      </c>
    </row>
    <row r="19">
      <c r="A19" t="inlineStr">
        <is>
          <t>EXP-2022-002495</t>
        </is>
      </c>
      <c r="B19" t="inlineStr">
        <is>
          <t>2022-05</t>
        </is>
      </c>
      <c r="C19" t="inlineStr">
        <is>
          <t>2022-05-30</t>
        </is>
      </c>
      <c r="E19" t="inlineStr">
        <is>
          <t>Parkolási bírság</t>
        </is>
      </c>
      <c r="F19" t="n">
        <v>3445</v>
      </c>
      <c r="G19" t="inlineStr">
        <is>
          <t>HUF</t>
        </is>
      </c>
      <c r="H19" t="n">
        <v>1</v>
      </c>
      <c r="I19" t="n">
        <v>27</v>
      </c>
      <c r="J19">
        <f>F19*H19</f>
        <v/>
      </c>
      <c r="K19">
        <f>(F19*H19) / ( 1 + I19 / 100)</f>
        <v/>
      </c>
      <c r="L19">
        <f>J19-K19</f>
        <v/>
      </c>
      <c r="M19" t="inlineStr">
        <is>
          <t>ÁLLANDÓ KÖLTSÉG</t>
        </is>
      </c>
      <c r="N19" t="inlineStr">
        <is>
          <t>CIB BEVÉTELI SZÁMLA (511)</t>
        </is>
      </c>
      <c r="O19" t="inlineStr">
        <is>
          <t>Gépjármű üzemeltetés</t>
        </is>
      </c>
      <c r="P19" t="inlineStr">
        <is>
          <t>Nem kell iktatni</t>
        </is>
      </c>
      <c r="R19" t="inlineStr">
        <is>
          <t>12001008-00131713-05800001
Budapest Főváros III. ker. Óbuda-Bé
Közlemény: RXM396 befiz. azonosító 10301014159487</t>
        </is>
      </c>
      <c r="U19" t="inlineStr">
        <is>
          <t>ÁTUTALÁS</t>
        </is>
      </c>
      <c r="V19" t="inlineStr">
        <is>
          <t>2022-05-30</t>
        </is>
      </c>
      <c r="W19" t="inlineStr">
        <is>
          <t>{'transaction_id': '', 'transaction_date': '2022.05.30', 'transaction_type': 'ÁTUTALÁS', 'transaction_message': '12001008-00131713-05800001\nBudapest Főváros III. ker. Óbuda-Bé\nKözlemény: RXM396 befiz. azonosító 10301014159487', 'transaction_cost_amount': -3445, 'transaction_cost_currency': 'HUF', 'transaction_supplier_name': '', 'transaction_partner_account': ''}</t>
        </is>
      </c>
    </row>
    <row r="20">
      <c r="A20" t="inlineStr">
        <is>
          <t>EXP-2022-002494</t>
        </is>
      </c>
      <c r="B20" t="inlineStr">
        <is>
          <t>2022-05</t>
        </is>
      </c>
      <c r="C20" t="inlineStr">
        <is>
          <t>2022-05-30</t>
        </is>
      </c>
      <c r="D20" t="inlineStr">
        <is>
          <t>CIB Bank</t>
        </is>
      </c>
      <c r="E20" t="inlineStr">
        <is>
          <t>Átutalás díja</t>
        </is>
      </c>
      <c r="F20" t="n">
        <v>83.25</v>
      </c>
      <c r="G20" t="inlineStr">
        <is>
          <t>HUF</t>
        </is>
      </c>
      <c r="H20" t="n">
        <v>1</v>
      </c>
      <c r="I20" t="n">
        <v>0</v>
      </c>
      <c r="J20">
        <f>F20*H20</f>
        <v/>
      </c>
      <c r="K20">
        <f>(F20*H20) / ( 1 + I20 / 100)</f>
        <v/>
      </c>
      <c r="L20">
        <f>J20-K20</f>
        <v/>
      </c>
      <c r="M20" t="inlineStr">
        <is>
          <t>ÁLLANDÓ KÖLTSÉG</t>
        </is>
      </c>
      <c r="N20" t="inlineStr">
        <is>
          <t>CIB BEVÉTELI SZÁMLA (511)</t>
        </is>
      </c>
      <c r="O20" t="inlineStr">
        <is>
          <t>Banki költség</t>
        </is>
      </c>
      <c r="P20" t="inlineStr">
        <is>
          <t>Nem kell iktatni</t>
        </is>
      </c>
      <c r="R20" t="inlineStr">
        <is>
          <t>AD-Bankközi átutalás GIRO-n
HUF 83,25
CB3ADFKT1                 H07j</t>
        </is>
      </c>
      <c r="U20" t="inlineStr">
        <is>
          <t>DÍJ, KAMAT</t>
        </is>
      </c>
      <c r="V20" t="inlineStr">
        <is>
          <t>2022-05-30</t>
        </is>
      </c>
      <c r="W20" t="inlineStr">
        <is>
          <t>{'transaction_id': '', 'transaction_date': '2022.05.30', 'transaction_type': 'DÍJ, KAMAT', 'transaction_message': 'AD-Bankközi átutalás GIRO-n\nHUF 83,25\nCB3ADFKT1                 H07j', 'transaction_cost_amount': -83.25, 'transaction_cost_currency': 'HUF', 'transaction_supplier_name': '', 'transaction_partner_account': ''}</t>
        </is>
      </c>
    </row>
    <row r="21">
      <c r="A21" t="inlineStr">
        <is>
          <t>EXP-2022-002493</t>
        </is>
      </c>
      <c r="B21" t="inlineStr">
        <is>
          <t>2022-05</t>
        </is>
      </c>
      <c r="C21" t="inlineStr">
        <is>
          <t>2022-05-30</t>
        </is>
      </c>
      <c r="D21" t="inlineStr">
        <is>
          <t>FJ webáruház</t>
        </is>
      </c>
      <c r="E21" t="inlineStr">
        <is>
          <t>Rendelés visszatérítés</t>
        </is>
      </c>
      <c r="F21" t="n">
        <v>900</v>
      </c>
      <c r="G21" t="inlineStr">
        <is>
          <t>HUF</t>
        </is>
      </c>
      <c r="H21" t="n">
        <v>1</v>
      </c>
      <c r="I21" t="n">
        <v>27</v>
      </c>
      <c r="J21">
        <f>F21*H21</f>
        <v/>
      </c>
      <c r="K21">
        <f>(F21*H21) / ( 1 + I21 / 100)</f>
        <v/>
      </c>
      <c r="L21">
        <f>J21-K21</f>
        <v/>
      </c>
      <c r="M21" t="inlineStr">
        <is>
          <t>EGYÉB</t>
        </is>
      </c>
      <c r="N21" t="inlineStr">
        <is>
          <t>CIB BEVÉTELI SZÁMLA (511)</t>
        </is>
      </c>
      <c r="O21" t="inlineStr">
        <is>
          <t>Visszatérítés</t>
        </is>
      </c>
      <c r="P21" t="inlineStr">
        <is>
          <t>Nem kell iktatni</t>
        </is>
      </c>
      <c r="R21" t="inlineStr">
        <is>
          <t>10700189-70983854-51100005
Szabóné Dr. Jámbor Eszter Júlia
Közlemény: rendelés módosítás ORD-2022-009520</t>
        </is>
      </c>
      <c r="U21" t="inlineStr">
        <is>
          <t>ÁTUTALÁS</t>
        </is>
      </c>
      <c r="V21" t="inlineStr">
        <is>
          <t>2022-05-30</t>
        </is>
      </c>
      <c r="W21" t="inlineStr">
        <is>
          <t>{'transaction_id': '', 'transaction_date': '2022.05.30', 'transaction_type': 'ÁTUTALÁS', 'transaction_message': '10700189-70983854-51100005\nSzabóné Dr. Jámbor Eszter Júlia\nKözlemény: rendelés módosítás ORD-2022-009520', 'transaction_cost_amount': -900, 'transaction_cost_currency': 'HUF', 'transaction_supplier_name': '', 'transaction_partner_account': ''}</t>
        </is>
      </c>
    </row>
    <row r="22">
      <c r="A22" t="inlineStr">
        <is>
          <t>EXP-2022-002492</t>
        </is>
      </c>
      <c r="B22" t="inlineStr">
        <is>
          <t>2022-05</t>
        </is>
      </c>
      <c r="C22" t="inlineStr">
        <is>
          <t>2022-05-30</t>
        </is>
      </c>
      <c r="D22" t="inlineStr">
        <is>
          <t>FJ webáruház</t>
        </is>
      </c>
      <c r="E22" t="inlineStr">
        <is>
          <t>Rendelés visszatérítés</t>
        </is>
      </c>
      <c r="F22" t="n">
        <v>24375</v>
      </c>
      <c r="G22" t="inlineStr">
        <is>
          <t>HUF</t>
        </is>
      </c>
      <c r="H22" t="n">
        <v>1</v>
      </c>
      <c r="I22" t="n">
        <v>27</v>
      </c>
      <c r="J22">
        <f>F22*H22</f>
        <v/>
      </c>
      <c r="K22">
        <f>(F22*H22) / ( 1 + I22 / 100)</f>
        <v/>
      </c>
      <c r="L22">
        <f>J22-K22</f>
        <v/>
      </c>
      <c r="M22" t="inlineStr">
        <is>
          <t>EGYÉB</t>
        </is>
      </c>
      <c r="N22" t="inlineStr">
        <is>
          <t>CIB BEVÉTELI SZÁMLA (511)</t>
        </is>
      </c>
      <c r="O22" t="inlineStr">
        <is>
          <t>Visszatérítés</t>
        </is>
      </c>
      <c r="P22" t="inlineStr">
        <is>
          <t>Nem kell iktatni</t>
        </is>
      </c>
      <c r="R22" t="inlineStr">
        <is>
          <t>12011069-01814358-00200002
Mindák Tiborné
Közlemény: visszáru E-FJ-2022-7679</t>
        </is>
      </c>
      <c r="U22" t="inlineStr">
        <is>
          <t>ÁTUTALÁS</t>
        </is>
      </c>
      <c r="V22" t="inlineStr">
        <is>
          <t>2022-05-30</t>
        </is>
      </c>
      <c r="W22" t="inlineStr">
        <is>
          <t>{'transaction_id': '', 'transaction_date': '2022.05.30', 'transaction_type': 'ÁTUTALÁS', 'transaction_message': '12011069-01814358-00200002\nMindák Tiborné\nKözlemény: visszáru E-FJ-2022-7679', 'transaction_cost_amount': -24375, 'transaction_cost_currency': 'HUF', 'transaction_supplier_name': '', 'transaction_partner_account': ''}</t>
        </is>
      </c>
    </row>
    <row r="23">
      <c r="A23" t="inlineStr">
        <is>
          <t>EXP-2022-002491</t>
        </is>
      </c>
      <c r="B23" t="inlineStr">
        <is>
          <t>2022-05</t>
        </is>
      </c>
      <c r="C23" t="inlineStr">
        <is>
          <t>2022-05-30</t>
        </is>
      </c>
      <c r="D23" t="inlineStr">
        <is>
          <t>CIB Bank</t>
        </is>
      </c>
      <c r="E23" t="inlineStr">
        <is>
          <t>Átutalás díja</t>
        </is>
      </c>
      <c r="F23" t="n">
        <v>83.25</v>
      </c>
      <c r="G23" t="inlineStr">
        <is>
          <t>HUF</t>
        </is>
      </c>
      <c r="H23" t="n">
        <v>1</v>
      </c>
      <c r="I23" t="n">
        <v>0</v>
      </c>
      <c r="J23">
        <f>F23*H23</f>
        <v/>
      </c>
      <c r="K23">
        <f>(F23*H23) / ( 1 + I23 / 100)</f>
        <v/>
      </c>
      <c r="L23">
        <f>J23-K23</f>
        <v/>
      </c>
      <c r="M23" t="inlineStr">
        <is>
          <t>ÁLLANDÓ KÖLTSÉG</t>
        </is>
      </c>
      <c r="N23" t="inlineStr">
        <is>
          <t>CIB BEVÉTELI SZÁMLA (511)</t>
        </is>
      </c>
      <c r="O23" t="inlineStr">
        <is>
          <t>Banki költség</t>
        </is>
      </c>
      <c r="P23" t="inlineStr">
        <is>
          <t>Nem kell iktatni</t>
        </is>
      </c>
      <c r="R23" t="inlineStr">
        <is>
          <t>AD-Bankközi átutalás GIRO-n
HUF 83,25
CB3ADFKT1                 H0Jb</t>
        </is>
      </c>
      <c r="U23" t="inlineStr">
        <is>
          <t>DÍJ, KAMAT</t>
        </is>
      </c>
      <c r="V23" t="inlineStr">
        <is>
          <t>2022-05-30</t>
        </is>
      </c>
      <c r="W23" t="inlineStr">
        <is>
          <t>{'transaction_id': '', 'transaction_date': '2022.05.30', 'transaction_type': 'DÍJ, KAMAT', 'transaction_message': 'AD-Bankközi átutalás GIRO-n\nHUF 83,25\nCB3ADFKT1                 H0Jb', 'transaction_cost_amount': -83.25, 'transaction_cost_currency': 'HUF', 'transaction_supplier_name': '', 'transaction_partner_account': ''}</t>
        </is>
      </c>
    </row>
    <row r="24">
      <c r="A24" t="inlineStr">
        <is>
          <t>EXP-2022-002490</t>
        </is>
      </c>
      <c r="B24" t="inlineStr">
        <is>
          <t>2022-05</t>
        </is>
      </c>
      <c r="C24" t="inlineStr">
        <is>
          <t>2022-05-31</t>
        </is>
      </c>
      <c r="D24" t="inlineStr">
        <is>
          <t>CIB Bank</t>
        </is>
      </c>
      <c r="E24" t="inlineStr">
        <is>
          <t>SMS díj</t>
        </is>
      </c>
      <c r="F24" t="n">
        <v>236</v>
      </c>
      <c r="G24" t="inlineStr">
        <is>
          <t>HUF</t>
        </is>
      </c>
      <c r="H24" t="n">
        <v>1</v>
      </c>
      <c r="I24" t="n">
        <v>0</v>
      </c>
      <c r="J24">
        <f>F24*H24</f>
        <v/>
      </c>
      <c r="K24">
        <f>(F24*H24) / ( 1 + I24 / 100)</f>
        <v/>
      </c>
      <c r="L24">
        <f>J24-K24</f>
        <v/>
      </c>
      <c r="M24" t="inlineStr">
        <is>
          <t>ÁLLANDÓ KÖLTSÉG</t>
        </is>
      </c>
      <c r="N24" t="inlineStr">
        <is>
          <t>CIB BEVÉTELI SZÁMLA (511)</t>
        </is>
      </c>
      <c r="O24" t="inlineStr">
        <is>
          <t>Banki költség</t>
        </is>
      </c>
      <c r="P24" t="inlineStr">
        <is>
          <t>Nem kell iktatni</t>
        </is>
      </c>
      <c r="R24" t="inlineStr">
        <is>
          <t>MT-Internet Bank - biztonsági SMS
SMSMTFMT4                 H0On</t>
        </is>
      </c>
      <c r="U24" t="inlineStr">
        <is>
          <t>DÍJ, KAMAT</t>
        </is>
      </c>
      <c r="V24" t="inlineStr">
        <is>
          <t>2022-05-31</t>
        </is>
      </c>
      <c r="W24" t="inlineStr">
        <is>
          <t>{'transaction_id': '', 'transaction_date': '2022.05.31', 'transaction_type': 'DÍJ, KAMAT', 'transaction_message': 'MT-Internet Bank - biztonsági SMS\nSMSMTFMT4                 H0On', 'transaction_cost_amount': -236, 'transaction_cost_currency': 'HUF', 'transaction_supplier_name': '', 'transaction_partner_account': ''}</t>
        </is>
      </c>
    </row>
    <row r="25">
      <c r="A25" t="inlineStr">
        <is>
          <t>EXP-2022-002489</t>
        </is>
      </c>
      <c r="B25" t="inlineStr">
        <is>
          <t>2022-05</t>
        </is>
      </c>
      <c r="C25" t="inlineStr">
        <is>
          <t>2022-05-31</t>
        </is>
      </c>
      <c r="D25" t="inlineStr">
        <is>
          <t>CIB Bank</t>
        </is>
      </c>
      <c r="E25" t="inlineStr">
        <is>
          <t>Díj, kamat</t>
        </is>
      </c>
      <c r="F25" t="n">
        <v>53834.38</v>
      </c>
      <c r="G25" t="inlineStr">
        <is>
          <t>HUF</t>
        </is>
      </c>
      <c r="H25" t="n">
        <v>1</v>
      </c>
      <c r="I25" t="n">
        <v>0</v>
      </c>
      <c r="J25">
        <f>F25*H25</f>
        <v/>
      </c>
      <c r="K25">
        <f>(F25*H25) / ( 1 + I25 / 100)</f>
        <v/>
      </c>
      <c r="L25">
        <f>J25-K25</f>
        <v/>
      </c>
      <c r="M25" t="inlineStr">
        <is>
          <t>ÁLLANDÓ KÖLTSÉG</t>
        </is>
      </c>
      <c r="N25" t="inlineStr">
        <is>
          <t>CIB BEVÉTELI SZÁMLA (511)</t>
        </is>
      </c>
      <c r="O25" t="inlineStr">
        <is>
          <t>Banki költség</t>
        </is>
      </c>
      <c r="P25" t="inlineStr">
        <is>
          <t>Nem kell iktatni</t>
        </is>
      </c>
      <c r="R25" t="inlineStr">
        <is>
          <t>TI-Pénzforgalmi díj
TILTIFHT2SB_CB3           H04u</t>
        </is>
      </c>
      <c r="U25" t="inlineStr">
        <is>
          <t>DÍJ, KAMAT</t>
        </is>
      </c>
      <c r="V25" t="inlineStr">
        <is>
          <t>2022-05-31</t>
        </is>
      </c>
      <c r="W25" t="inlineStr">
        <is>
          <t>{'transaction_id': '', 'transaction_date': '2022.05.31', 'transaction_type': 'DÍJ, KAMAT', 'transaction_message': 'TI-Pénzforgalmi díj\nTILTIFHT2SB_CB3           H04u', 'transaction_cost_amount': -53834.38, 'transaction_cost_currency': 'HUF', 'transaction_supplier_name': '', 'transaction_partner_account': ''}</t>
        </is>
      </c>
    </row>
    <row r="26">
      <c r="A26" t="inlineStr">
        <is>
          <t>EXP-2022-002488</t>
        </is>
      </c>
      <c r="B26" t="inlineStr">
        <is>
          <t>2022-05</t>
        </is>
      </c>
      <c r="C26" t="inlineStr">
        <is>
          <t>2022-05-31</t>
        </is>
      </c>
      <c r="D26" t="inlineStr">
        <is>
          <t>Iklad Önkormányzat</t>
        </is>
      </c>
      <c r="E26" t="inlineStr">
        <is>
          <t>Iparűzési Adó IPA</t>
        </is>
      </c>
      <c r="F26" t="n">
        <v>195451</v>
      </c>
      <c r="G26" t="inlineStr">
        <is>
          <t>HUF</t>
        </is>
      </c>
      <c r="H26" t="n">
        <v>1</v>
      </c>
      <c r="I26" t="n">
        <v>27</v>
      </c>
      <c r="J26">
        <f>F26*H26</f>
        <v/>
      </c>
      <c r="K26">
        <f>(F26*H26) / ( 1 + I26 / 100)</f>
        <v/>
      </c>
      <c r="L26">
        <f>J26-K26</f>
        <v/>
      </c>
      <c r="M26" t="inlineStr">
        <is>
          <t>VÁLTOZÓ KÖLTSÉG</t>
        </is>
      </c>
      <c r="N26" t="inlineStr">
        <is>
          <t>CIB BEVÉTELI SZÁMLA (511)</t>
        </is>
      </c>
      <c r="O26" t="inlineStr">
        <is>
          <t>Adó</t>
        </is>
      </c>
      <c r="P26" t="inlineStr">
        <is>
          <t>Nem kell iktatni</t>
        </is>
      </c>
      <c r="R26" t="inlineStr">
        <is>
          <t>11742166-15441575-03540000
Iklad Iparűzési Adó
Közlemény: 24972370-2-42 IPA</t>
        </is>
      </c>
      <c r="U26" t="inlineStr">
        <is>
          <t>EGYÉB TERHELÉS</t>
        </is>
      </c>
      <c r="V26" t="inlineStr">
        <is>
          <t>2022-05-31</t>
        </is>
      </c>
      <c r="W26" t="inlineStr">
        <is>
          <t>{'transaction_id': '', 'transaction_date': '2022.05.31', 'transaction_type': 'EGYÉB TERHELÉS', 'transaction_message': '11742166-15441575-03540000\nIklad Iparűzési Adó\nKözlemény: 24972370-2-42 IPA', 'transaction_cost_amount': -195451, 'transaction_cost_currency': 'HUF', 'transaction_supplier_name': '', 'transaction_partner_account': ''}</t>
        </is>
      </c>
    </row>
    <row r="27">
      <c r="A27" t="inlineStr">
        <is>
          <t>EXP-2022-002487</t>
        </is>
      </c>
      <c r="B27" t="inlineStr">
        <is>
          <t>2022-05</t>
        </is>
      </c>
      <c r="C27" t="inlineStr">
        <is>
          <t>2022-05-31</t>
        </is>
      </c>
      <c r="D27" t="inlineStr">
        <is>
          <t>CIB Bank</t>
        </is>
      </c>
      <c r="E27" t="inlineStr">
        <is>
          <t>Átutalás díja</t>
        </is>
      </c>
      <c r="F27" t="n">
        <v>84.04000000000001</v>
      </c>
      <c r="G27" t="inlineStr">
        <is>
          <t>HUF</t>
        </is>
      </c>
      <c r="H27" t="n">
        <v>1</v>
      </c>
      <c r="I27" t="n">
        <v>0</v>
      </c>
      <c r="J27">
        <f>F27*H27</f>
        <v/>
      </c>
      <c r="K27">
        <f>(F27*H27) / ( 1 + I27 / 100)</f>
        <v/>
      </c>
      <c r="L27">
        <f>J27-K27</f>
        <v/>
      </c>
      <c r="M27" t="inlineStr">
        <is>
          <t>ÁLLANDÓ KÖLTSÉG</t>
        </is>
      </c>
      <c r="N27" t="inlineStr">
        <is>
          <t>CIB BEVÉTELI SZÁMLA (511)</t>
        </is>
      </c>
      <c r="O27" t="inlineStr">
        <is>
          <t>Banki költség</t>
        </is>
      </c>
      <c r="P27" t="inlineStr">
        <is>
          <t>Nem kell iktatni</t>
        </is>
      </c>
      <c r="R27" t="inlineStr">
        <is>
          <t>AD-Bankközi átutalás GIRO-n
HUF 84,04
CB3ADFKT1                 H0r3</t>
        </is>
      </c>
      <c r="U27" t="inlineStr">
        <is>
          <t>DÍJ, KAMAT</t>
        </is>
      </c>
      <c r="V27" t="inlineStr">
        <is>
          <t>2022-05-31</t>
        </is>
      </c>
      <c r="W27" t="inlineStr">
        <is>
          <t>{'transaction_id': '', 'transaction_date': '2022.05.31', 'transaction_type': 'DÍJ, KAMAT', 'transaction_message': 'AD-Bankközi átutalás GIRO-n\nHUF 84,04\nCB3ADFKT1                 H0r3', 'transaction_cost_amount': -84.04, 'transaction_cost_currency': 'HUF', 'transaction_supplier_name': '', 'transaction_partner_account': ''}</t>
        </is>
      </c>
    </row>
    <row r="28">
      <c r="A28" t="inlineStr">
        <is>
          <t>EXP-2022-002485</t>
        </is>
      </c>
      <c r="B28" t="inlineStr">
        <is>
          <t>2022-05</t>
        </is>
      </c>
      <c r="C28" t="inlineStr">
        <is>
          <t>2022-05-23</t>
        </is>
      </c>
      <c r="D28" t="inlineStr">
        <is>
          <t>Üzemanyag töltőállomások</t>
        </is>
      </c>
      <c r="E28" t="inlineStr">
        <is>
          <t>Üzemanyag</t>
        </is>
      </c>
      <c r="F28" t="n">
        <v>16120</v>
      </c>
      <c r="G28" t="inlineStr">
        <is>
          <t>HUF</t>
        </is>
      </c>
      <c r="H28" t="n">
        <v>1</v>
      </c>
      <c r="I28" t="n">
        <v>27</v>
      </c>
      <c r="J28">
        <f>F28*H28</f>
        <v/>
      </c>
      <c r="K28">
        <f>(F28*H28) / ( 1 + I28 / 100)</f>
        <v/>
      </c>
      <c r="L28">
        <f>J28-K28</f>
        <v/>
      </c>
      <c r="M28" t="inlineStr">
        <is>
          <t>ÁLLANDÓ KÖLTSÉG</t>
        </is>
      </c>
      <c r="N28" t="inlineStr">
        <is>
          <t>CIB MŰKÖDÉSI KÖLTSÉGEK (517)</t>
        </is>
      </c>
      <c r="O28" t="inlineStr">
        <is>
          <t>Gépjármű üzemeltetés</t>
        </is>
      </c>
      <c r="P28" t="inlineStr">
        <is>
          <t>Iktatva</t>
        </is>
      </c>
      <c r="Q28" s="1" t="inlineStr">
        <is>
          <t>4335</t>
        </is>
      </c>
      <c r="R28" t="inlineStr">
        <is>
          <t>4796 **** **** 8958 20220519 100345 16120.00 HUF 5541 341617HU  GODOLLO SHELL TO LTO"A'LL. 71450012 1736744</t>
        </is>
      </c>
      <c r="U28" t="inlineStr">
        <is>
          <t>KÁRTYATRANZAKCIÓ</t>
        </is>
      </c>
      <c r="V28" t="inlineStr">
        <is>
          <t>2022-05-23</t>
        </is>
      </c>
      <c r="W28" t="inlineStr">
        <is>
          <t>{'transaction_date': '2022.05.23', 'transaction_id': '', 'transaction_cost_amount': '-16120', 'transaction_cost_currency': 'HUF', 'transaction_supplier_name': '', 'transaction_partner_account': '', 'transaction_message': '4796 **** **** 8958 20220519 100345 16120.00 HUF 5541 341617HU  GODOLLO SHELL TO LTO"A\'LL. 71450012 1736744', 'transaction_type': 'KÁRTYATRANZAKCIÓ'}</t>
        </is>
      </c>
    </row>
    <row r="29">
      <c r="A29" t="inlineStr">
        <is>
          <t>EXP-2022-002484</t>
        </is>
      </c>
      <c r="B29" t="inlineStr">
        <is>
          <t>2022-05</t>
        </is>
      </c>
      <c r="C29" t="inlineStr">
        <is>
          <t>2022-05-23</t>
        </is>
      </c>
      <c r="D29" t="inlineStr">
        <is>
          <t>KBOSS.hu Kft</t>
        </is>
      </c>
      <c r="E29" t="inlineStr">
        <is>
          <t>Online számlázó</t>
        </is>
      </c>
      <c r="F29" t="n">
        <v>7823</v>
      </c>
      <c r="G29" t="inlineStr">
        <is>
          <t>HUF</t>
        </is>
      </c>
      <c r="H29" t="n">
        <v>1</v>
      </c>
      <c r="I29" t="n">
        <v>27</v>
      </c>
      <c r="J29">
        <f>F29*H29</f>
        <v/>
      </c>
      <c r="K29">
        <f>(F29*H29) / ( 1 + I29 / 100)</f>
        <v/>
      </c>
      <c r="L29">
        <f>J29-K29</f>
        <v/>
      </c>
      <c r="M29" t="inlineStr">
        <is>
          <t>ÁLLANDÓ KÖLTSÉG</t>
        </is>
      </c>
      <c r="N29" t="inlineStr">
        <is>
          <t>CIB MŰKÖDÉSI KÖLTSÉGEK (517)</t>
        </is>
      </c>
      <c r="O29" t="inlineStr">
        <is>
          <t>Szoftver költség</t>
        </is>
      </c>
      <c r="P29" t="inlineStr">
        <is>
          <t>Iktatva</t>
        </is>
      </c>
      <c r="Q29" s="1" t="inlineStr">
        <is>
          <t>3937</t>
        </is>
      </c>
      <c r="R29" t="inlineStr">
        <is>
          <t>4796 **** **** 6359 20220520 055601 7823.00 HUF 7299 545395HU  BUDAPEST OTPMOBL SZAMLAZZ.H 022P4583 0175745</t>
        </is>
      </c>
      <c r="U29" t="inlineStr">
        <is>
          <t>KÁRTYATRANZAKCIÓ</t>
        </is>
      </c>
      <c r="V29" t="inlineStr">
        <is>
          <t>2022-05-23</t>
        </is>
      </c>
      <c r="W29" t="inlineStr">
        <is>
          <t>{'transaction_date': '2022.05.23', 'transaction_id': '', 'transaction_cost_amount': '-7823', 'transaction_cost_currency': 'HUF', 'transaction_supplier_name': '', 'transaction_partner_account': '', 'transaction_message': '4796 **** **** 6359 20220520 055601 7823.00 HUF 7299 545395HU  BUDAPEST OTPMOBL SZAMLAZZ.H 022P4583 0175745', 'transaction_type': 'KÁRTYATRANZAKCIÓ'}</t>
        </is>
      </c>
    </row>
    <row r="30">
      <c r="A30" t="inlineStr">
        <is>
          <t>EXP-2022-002483</t>
        </is>
      </c>
      <c r="B30" t="inlineStr">
        <is>
          <t>2022-05</t>
        </is>
      </c>
      <c r="C30" t="inlineStr">
        <is>
          <t>2022-05-23</t>
        </is>
      </c>
      <c r="D30" t="inlineStr">
        <is>
          <t>Closte LLC</t>
        </is>
      </c>
      <c r="E30" t="inlineStr">
        <is>
          <t>Wordpress tárhely</t>
        </is>
      </c>
      <c r="F30" t="n">
        <v>14776</v>
      </c>
      <c r="G30" t="inlineStr">
        <is>
          <t>HUF</t>
        </is>
      </c>
      <c r="H30" t="n">
        <v>1</v>
      </c>
      <c r="I30" t="n">
        <v>0</v>
      </c>
      <c r="J30">
        <f>F30*H30</f>
        <v/>
      </c>
      <c r="K30">
        <f>(F30*H30) / ( 1 + I30 / 100)</f>
        <v/>
      </c>
      <c r="L30">
        <f>J30-K30</f>
        <v/>
      </c>
      <c r="M30" t="inlineStr">
        <is>
          <t>ÁLLANDÓ KÖLTSÉG</t>
        </is>
      </c>
      <c r="N30" t="inlineStr">
        <is>
          <t>CIB MŰKÖDÉSI KÖLTSÉGEK (517)</t>
        </is>
      </c>
      <c r="O30" t="inlineStr">
        <is>
          <t>Szoftver költség</t>
        </is>
      </c>
      <c r="P30" t="inlineStr">
        <is>
          <t>Iktatva</t>
        </is>
      </c>
      <c r="Q30" s="1" t="inlineStr">
        <is>
          <t>4135</t>
        </is>
      </c>
      <c r="R30" t="inlineStr">
        <is>
          <t>4796 **** **** 6359 20220520 010512 40.00 USD        40.00 USD 369.39 7372 539831US  HTTPSCLOSTE.C CLOSTE.COM  CLOSTE CXCJPJOT 0307688</t>
        </is>
      </c>
      <c r="U30" t="inlineStr">
        <is>
          <t>KÁRTYATRANZAKCIÓ</t>
        </is>
      </c>
      <c r="V30" t="inlineStr">
        <is>
          <t>2022-05-23</t>
        </is>
      </c>
      <c r="W30" t="inlineStr">
        <is>
          <t>{'transaction_date': '2022.05.23', 'transaction_id': '', 'transaction_cost_amount': '-14776', 'transaction_cost_currency': 'HUF', 'transaction_supplier_name': '', 'transaction_partner_account': '', 'transaction_message': '4796 **** **** 6359 20220520 010512 40.00 USD        40.00 USD 369.39 7372 539831US  HTTPSCLOSTE.C CLOSTE.COM  CLOSTE CXCJPJOT 0307688', 'transaction_type': 'KÁRTYATRANZAKCIÓ'}</t>
        </is>
      </c>
    </row>
    <row r="31">
      <c r="A31" t="inlineStr">
        <is>
          <t>EXP-2022-002482</t>
        </is>
      </c>
      <c r="B31" t="inlineStr">
        <is>
          <t>2022-05</t>
        </is>
      </c>
      <c r="C31" t="inlineStr">
        <is>
          <t>2022-05-23</t>
        </is>
      </c>
      <c r="D31" t="inlineStr">
        <is>
          <t>”A-MAX” Kft.</t>
        </is>
      </c>
      <c r="E31" t="inlineStr">
        <is>
          <t>Szerszám és gép, takarítógép</t>
        </is>
      </c>
      <c r="F31" t="n">
        <v>5590</v>
      </c>
      <c r="G31" t="inlineStr">
        <is>
          <t>HUF</t>
        </is>
      </c>
      <c r="H31" t="n">
        <v>1</v>
      </c>
      <c r="I31" t="n">
        <v>27</v>
      </c>
      <c r="J31">
        <f>F31*H31</f>
        <v/>
      </c>
      <c r="K31">
        <f>(F31*H31) / ( 1 + I31 / 100)</f>
        <v/>
      </c>
      <c r="L31">
        <f>J31-K31</f>
        <v/>
      </c>
      <c r="M31" t="inlineStr">
        <is>
          <t>EGYÉB</t>
        </is>
      </c>
      <c r="N31" t="inlineStr">
        <is>
          <t>CIB MŰKÖDÉSI KÖLTSÉGEK (517)</t>
        </is>
      </c>
      <c r="O31" t="inlineStr">
        <is>
          <t>Magánfelhasználás</t>
        </is>
      </c>
      <c r="P31" t="inlineStr">
        <is>
          <t>Iktatva</t>
        </is>
      </c>
      <c r="Q31" s="1" t="inlineStr">
        <is>
          <t>4341</t>
        </is>
      </c>
      <c r="R31" t="inlineStr">
        <is>
          <t>4796 **** **** 8958 20220521 115307 5590.00 HUF 7349 899782HU  GODOLLO KARCHER MA'RKAKE'P 00109960 2152258</t>
        </is>
      </c>
      <c r="U31" t="inlineStr">
        <is>
          <t>KÁRTYATRANZAKCIÓ</t>
        </is>
      </c>
      <c r="V31" t="inlineStr">
        <is>
          <t>2022-05-23</t>
        </is>
      </c>
      <c r="W31" t="inlineStr">
        <is>
          <t>{'transaction_date': '2022.05.23', 'transaction_id': '', 'transaction_cost_amount': '-5590', 'transaction_cost_currency': 'HUF', 'transaction_supplier_name': '', 'transaction_partner_account': '', 'transaction_message': "4796 **** **** 8958 20220521 115307 5590.00 HUF 7349 899782HU  GODOLLO KARCHER MA'RKAKE'P 00109960 2152258", 'transaction_type': 'KÁRTYATRANZAKCIÓ'}</t>
        </is>
      </c>
    </row>
    <row r="32">
      <c r="A32" t="inlineStr">
        <is>
          <t>EXP-2022-002481</t>
        </is>
      </c>
      <c r="B32" t="inlineStr">
        <is>
          <t>2022-05</t>
        </is>
      </c>
      <c r="C32" t="inlineStr">
        <is>
          <t>2022-05-24</t>
        </is>
      </c>
      <c r="D32" t="inlineStr">
        <is>
          <t>Facebook</t>
        </is>
      </c>
      <c r="E32" t="inlineStr">
        <is>
          <t>Fizetett hirdetés</t>
        </is>
      </c>
      <c r="F32" t="n">
        <v>250000</v>
      </c>
      <c r="G32" t="inlineStr">
        <is>
          <t>HUF</t>
        </is>
      </c>
      <c r="H32" t="n">
        <v>1</v>
      </c>
      <c r="I32" t="n">
        <v>0</v>
      </c>
      <c r="J32">
        <f>F32*H32</f>
        <v/>
      </c>
      <c r="K32">
        <f>(F32*H32) / ( 1 + I32 / 100)</f>
        <v/>
      </c>
      <c r="L32">
        <f>J32-K32</f>
        <v/>
      </c>
      <c r="M32" t="inlineStr">
        <is>
          <t>ÁLLANDÓ KÖLTSÉG</t>
        </is>
      </c>
      <c r="N32" t="inlineStr">
        <is>
          <t>CIB MŰKÖDÉSI KÖLTSÉGEK (517)</t>
        </is>
      </c>
      <c r="O32" t="inlineStr">
        <is>
          <t>Hirdetési költség</t>
        </is>
      </c>
      <c r="P32" t="inlineStr">
        <is>
          <t>Iktatni</t>
        </is>
      </c>
      <c r="R32" t="inlineStr">
        <is>
          <t>4796 **** **** 6359 20220522 213922 250000.00 HUF    250000.00 HUF 7311 189296IE  fb.me/ads FACEBK  4NH66DB7B2          6300782</t>
        </is>
      </c>
      <c r="U32" t="inlineStr">
        <is>
          <t>KÁRTYATRANZAKCIÓ</t>
        </is>
      </c>
      <c r="V32" t="inlineStr">
        <is>
          <t>2022-05-24</t>
        </is>
      </c>
      <c r="W32" t="inlineStr">
        <is>
          <t>{'transaction_date': '2022.05.24', 'transaction_id': '', 'transaction_cost_amount': '-250000', 'transaction_cost_currency': 'HUF', 'transaction_supplier_name': '', 'transaction_partner_account': '', 'transaction_message': '4796 **** **** 6359 20220522 213922 250000.00 HUF    250000.00 HUF 7311 189296IE  fb.me/ads FACEBK  4NH66DB7B2          6300782', 'transaction_type': 'KÁRTYATRANZAKCIÓ'}</t>
        </is>
      </c>
    </row>
    <row r="33">
      <c r="A33" t="inlineStr">
        <is>
          <t>EXP-2022-002480</t>
        </is>
      </c>
      <c r="B33" t="inlineStr">
        <is>
          <t>2022-05</t>
        </is>
      </c>
      <c r="C33" t="inlineStr">
        <is>
          <t>2022-05-25</t>
        </is>
      </c>
      <c r="D33" t="inlineStr">
        <is>
          <t>UNAS Online Kft</t>
        </is>
      </c>
      <c r="E33" t="inlineStr">
        <is>
          <t>Webáruház bérlet</t>
        </is>
      </c>
      <c r="F33" t="n">
        <v>29197</v>
      </c>
      <c r="G33" t="inlineStr">
        <is>
          <t>HUF</t>
        </is>
      </c>
      <c r="H33" t="n">
        <v>1</v>
      </c>
      <c r="I33" t="n">
        <v>27</v>
      </c>
      <c r="J33">
        <f>F33*H33</f>
        <v/>
      </c>
      <c r="K33">
        <f>(F33*H33) / ( 1 + I33 / 100)</f>
        <v/>
      </c>
      <c r="L33">
        <f>J33-K33</f>
        <v/>
      </c>
      <c r="M33" t="inlineStr">
        <is>
          <t>ÁLLANDÓ KÖLTSÉG</t>
        </is>
      </c>
      <c r="N33" t="inlineStr">
        <is>
          <t>CIB MŰKÖDÉSI KÖLTSÉGEK (517)</t>
        </is>
      </c>
      <c r="O33" t="inlineStr">
        <is>
          <t>Online müködes</t>
        </is>
      </c>
      <c r="P33" t="inlineStr">
        <is>
          <t>Iktatni</t>
        </is>
      </c>
      <c r="R33" t="inlineStr">
        <is>
          <t>4796 **** **** 6359 20220524 091227 29.197,00 HUF 4816 461436HU  SOPRON UNAS ONLINE KFT.   IEBL0527 0862026</t>
        </is>
      </c>
      <c r="U33" t="inlineStr">
        <is>
          <t>KÁRTYATRANZAKCIÓ</t>
        </is>
      </c>
      <c r="V33" t="inlineStr">
        <is>
          <t>2022-05-25</t>
        </is>
      </c>
      <c r="W33" t="inlineStr">
        <is>
          <t>{'transaction_date': '2022.05.25', 'transaction_id': '', 'transaction_cost_amount': '-29197', 'transaction_cost_currency': 'HUF', 'transaction_supplier_name': '', 'transaction_partner_account': '', 'transaction_message': '4796 **** **** 6359 20220524 091227 29.197,00 HUF 4816 461436HU  SOPRON UNAS ONLINE KFT.   IEBL0527 0862026', 'transaction_type': 'KÁRTYATRANZAKCIÓ'}</t>
        </is>
      </c>
    </row>
    <row r="34">
      <c r="A34" t="inlineStr">
        <is>
          <t>EXP-2022-002479</t>
        </is>
      </c>
      <c r="B34" t="inlineStr">
        <is>
          <t>2022-05</t>
        </is>
      </c>
      <c r="C34" t="inlineStr">
        <is>
          <t>2022-05-25</t>
        </is>
      </c>
      <c r="E34" t="inlineStr">
        <is>
          <t>Magánfelhasználás (Számlás)</t>
        </is>
      </c>
      <c r="F34" t="n">
        <v>43800</v>
      </c>
      <c r="G34" t="inlineStr">
        <is>
          <t>HUF</t>
        </is>
      </c>
      <c r="H34" t="n">
        <v>1</v>
      </c>
      <c r="I34" t="n">
        <v>27</v>
      </c>
      <c r="J34">
        <f>F34*H34</f>
        <v/>
      </c>
      <c r="K34">
        <f>(F34*H34) / ( 1 + I34 / 100)</f>
        <v/>
      </c>
      <c r="L34">
        <f>J34-K34</f>
        <v/>
      </c>
      <c r="M34" t="inlineStr">
        <is>
          <t>EGYÉB</t>
        </is>
      </c>
      <c r="N34" t="inlineStr">
        <is>
          <t>CIB MŰKÖDÉSI KÖLTSÉGEK (517)</t>
        </is>
      </c>
      <c r="O34" t="inlineStr">
        <is>
          <t>Magánfelhasználás</t>
        </is>
      </c>
      <c r="P34" t="inlineStr">
        <is>
          <t>Iktatni</t>
        </is>
      </c>
      <c r="R34" t="inlineStr">
        <is>
          <t>4796 **** **** 8958 20220523 094955 43800.00 HUF 7011 240680HU  Nagyborzsony Szent Orban Erdei  S00S2676 4966597</t>
        </is>
      </c>
      <c r="U34" t="inlineStr">
        <is>
          <t>KÁRTYATRANZAKCIÓ</t>
        </is>
      </c>
      <c r="V34" t="inlineStr">
        <is>
          <t>2022-05-25</t>
        </is>
      </c>
      <c r="W34" t="inlineStr">
        <is>
          <t>{'transaction_date': '2022.05.25', 'transaction_id': '', 'transaction_cost_amount': '-43800', 'transaction_cost_currency': 'HUF', 'transaction_supplier_name': '', 'transaction_partner_account': '', 'transaction_message': '4796 **** **** 8958 20220523 094955 43800.00 HUF 7011 240680HU  Nagyborzsony Szent Orban Erdei  S00S2676 4966597', 'transaction_type': 'KÁRTYATRANZAKCIÓ'}</t>
        </is>
      </c>
    </row>
    <row r="35">
      <c r="A35" t="inlineStr">
        <is>
          <t>EXP-2022-002478</t>
        </is>
      </c>
      <c r="B35" t="inlineStr">
        <is>
          <t>2022-05</t>
        </is>
      </c>
      <c r="C35" t="inlineStr">
        <is>
          <t>2022-05-25</t>
        </is>
      </c>
      <c r="D35" t="inlineStr">
        <is>
          <t>Üzemanyag töltőállomások</t>
        </is>
      </c>
      <c r="E35" t="inlineStr">
        <is>
          <t>Üzemanyag</t>
        </is>
      </c>
      <c r="F35" t="n">
        <v>17684</v>
      </c>
      <c r="G35" t="inlineStr">
        <is>
          <t>HUF</t>
        </is>
      </c>
      <c r="H35" t="n">
        <v>1</v>
      </c>
      <c r="I35" t="n">
        <v>27</v>
      </c>
      <c r="J35">
        <f>F35*H35</f>
        <v/>
      </c>
      <c r="K35">
        <f>(F35*H35) / ( 1 + I35 / 100)</f>
        <v/>
      </c>
      <c r="L35">
        <f>J35-K35</f>
        <v/>
      </c>
      <c r="M35" t="inlineStr">
        <is>
          <t>ÁLLANDÓ KÖLTSÉG</t>
        </is>
      </c>
      <c r="N35" t="inlineStr">
        <is>
          <t>CIB MŰKÖDÉSI KÖLTSÉGEK (517)</t>
        </is>
      </c>
      <c r="O35" t="inlineStr">
        <is>
          <t>Gépjármű üzemeltetés</t>
        </is>
      </c>
      <c r="P35" t="inlineStr">
        <is>
          <t>Iktatva</t>
        </is>
      </c>
      <c r="Q35" s="1" t="inlineStr">
        <is>
          <t>4343</t>
        </is>
      </c>
      <c r="R35" t="inlineStr">
        <is>
          <t>4796 **** **** 8958 20220523 160910 17684.00 HUF 5541 347950HU  VAC MOL Nyrt. Kisker., HB172222 2383526</t>
        </is>
      </c>
      <c r="U35" t="inlineStr">
        <is>
          <t>KÁRTYATRANZAKCIÓ</t>
        </is>
      </c>
      <c r="V35" t="inlineStr">
        <is>
          <t>2022-05-25</t>
        </is>
      </c>
      <c r="W35" t="inlineStr">
        <is>
          <t>{'transaction_date': '2022.05.25', 'transaction_id': '', 'transaction_cost_amount': '-17684', 'transaction_cost_currency': 'HUF', 'transaction_supplier_name': '', 'transaction_partner_account': '', 'transaction_message': '4796 **** **** 8958 20220523 160910 17684.00 HUF 5541 347950HU  VAC MOL Nyrt. Kisker., HB172222 2383526', 'transaction_type': 'KÁRTYATRANZAKCIÓ'}</t>
        </is>
      </c>
    </row>
    <row r="36">
      <c r="A36" t="inlineStr">
        <is>
          <t>EXP-2022-002477</t>
        </is>
      </c>
      <c r="B36" t="inlineStr">
        <is>
          <t>2022-05</t>
        </is>
      </c>
      <c r="C36" t="inlineStr">
        <is>
          <t>2022-05-26</t>
        </is>
      </c>
      <c r="D36" t="inlineStr">
        <is>
          <t>TEDi Árukereskedelmi Kft.</t>
        </is>
      </c>
      <c r="E36" t="inlineStr">
        <is>
          <t>Kreatív kellék</t>
        </is>
      </c>
      <c r="F36" t="n">
        <v>7000</v>
      </c>
      <c r="G36" t="inlineStr">
        <is>
          <t>HUF</t>
        </is>
      </c>
      <c r="H36" t="n">
        <v>1</v>
      </c>
      <c r="I36" t="n">
        <v>27</v>
      </c>
      <c r="J36">
        <f>F36*H36</f>
        <v/>
      </c>
      <c r="K36">
        <f>(F36*H36) / ( 1 + I36 / 100)</f>
        <v/>
      </c>
      <c r="L36">
        <f>J36-K36</f>
        <v/>
      </c>
      <c r="M36" t="inlineStr">
        <is>
          <t>ÁLLANDÓ KÖLTSÉG</t>
        </is>
      </c>
      <c r="N36" t="inlineStr">
        <is>
          <t>CIB MŰKÖDÉSI KÖLTSÉGEK (517)</t>
        </is>
      </c>
      <c r="O36" t="inlineStr">
        <is>
          <t>Anyagköltség</t>
        </is>
      </c>
      <c r="P36" t="inlineStr">
        <is>
          <t>Iktatva</t>
        </is>
      </c>
      <c r="Q36" s="1" t="inlineStr">
        <is>
          <t>4342</t>
        </is>
      </c>
      <c r="R36" t="inlineStr">
        <is>
          <t>4796 **** **** 8958 20220524 114139 7000.00 HUF 5943 499535HU  Hatvan TEDi-HU 3111       TEHU0401 3023546</t>
        </is>
      </c>
      <c r="U36" t="inlineStr">
        <is>
          <t>KÁRTYATRANZAKCIÓ</t>
        </is>
      </c>
      <c r="V36" t="inlineStr">
        <is>
          <t>2022-05-26</t>
        </is>
      </c>
      <c r="W36" t="inlineStr">
        <is>
          <t>{'transaction_date': '2022.05.26', 'transaction_id': '', 'transaction_cost_amount': '-7000', 'transaction_cost_currency': 'HUF', 'transaction_supplier_name': '', 'transaction_partner_account': '', 'transaction_message': '4796 **** **** 8958 20220524 114139 7000.00 HUF 5943 499535HU  Hatvan TEDi-HU 3111       TEHU0401 3023546', 'transaction_type': 'KÁRTYATRANZAKCIÓ'}</t>
        </is>
      </c>
    </row>
    <row r="37">
      <c r="A37" t="inlineStr">
        <is>
          <t>EXP-2022-002475</t>
        </is>
      </c>
      <c r="B37" t="inlineStr">
        <is>
          <t>2022-05</t>
        </is>
      </c>
      <c r="C37" t="inlineStr">
        <is>
          <t>2022-05-21</t>
        </is>
      </c>
      <c r="D37" t="inlineStr">
        <is>
          <t>CIB Bank</t>
        </is>
      </c>
      <c r="E37" t="inlineStr">
        <is>
          <t>Átutalás díja</t>
        </is>
      </c>
      <c r="F37" t="n">
        <v>83</v>
      </c>
      <c r="G37" t="inlineStr">
        <is>
          <t>HUF</t>
        </is>
      </c>
      <c r="H37" t="n">
        <v>1</v>
      </c>
      <c r="I37" t="n">
        <v>0</v>
      </c>
      <c r="J37">
        <f>F37*H37</f>
        <v/>
      </c>
      <c r="K37">
        <f>(F37*H37) / ( 1 + I37 / 100)</f>
        <v/>
      </c>
      <c r="L37">
        <f>J37-K37</f>
        <v/>
      </c>
      <c r="M37" t="inlineStr">
        <is>
          <t>ÁLLANDÓ KÖLTSÉG</t>
        </is>
      </c>
      <c r="N37" t="inlineStr">
        <is>
          <t>CIB BEVÉTELI SZÁMLA (511)</t>
        </is>
      </c>
      <c r="O37" t="inlineStr">
        <is>
          <t>Banki költség</t>
        </is>
      </c>
      <c r="P37" t="inlineStr">
        <is>
          <t>Nem kell iktatni</t>
        </is>
      </c>
      <c r="R37" t="inlineStr">
        <is>
          <t>AD-Bankközi átutalás GIRO-n HUF 83,25 CB3ADFKT1                 H00V</t>
        </is>
      </c>
      <c r="U37" t="inlineStr">
        <is>
          <t>DÍJ, KAMAT</t>
        </is>
      </c>
      <c r="V37" t="inlineStr">
        <is>
          <t>2022-05-21</t>
        </is>
      </c>
      <c r="W37" t="inlineStr">
        <is>
          <t>{'transaction_date': '2022.05.21', 'transaction_id': '', 'transaction_cost_amount': '-83', 'transaction_cost_currency': 'HUF', 'transaction_supplier_name': '', 'transaction_partner_account': '', 'transaction_message': 'AD-Bankközi átutalás GIRO-n HUF 83,25 CB3ADFKT1                 H00V', 'transaction_type': 'DÍJ, KAMAT'}</t>
        </is>
      </c>
    </row>
    <row r="38">
      <c r="A38" t="inlineStr">
        <is>
          <t>EXP-2022-002474</t>
        </is>
      </c>
      <c r="B38" t="inlineStr">
        <is>
          <t>2022-05</t>
        </is>
      </c>
      <c r="C38" t="inlineStr">
        <is>
          <t>2022-05-23</t>
        </is>
      </c>
      <c r="D38" t="inlineStr">
        <is>
          <t>Pontozott Világ Kft.</t>
        </is>
      </c>
      <c r="E38" t="inlineStr">
        <is>
          <t>Vásárlói ajándék rendelés mellé</t>
        </is>
      </c>
      <c r="F38" t="n">
        <v>35648</v>
      </c>
      <c r="G38" t="inlineStr">
        <is>
          <t>HUF</t>
        </is>
      </c>
      <c r="H38" t="n">
        <v>1</v>
      </c>
      <c r="I38" t="n">
        <v>27</v>
      </c>
      <c r="J38">
        <f>F38*H38</f>
        <v/>
      </c>
      <c r="K38">
        <f>(F38*H38) / ( 1 + I38 / 100)</f>
        <v/>
      </c>
      <c r="L38">
        <f>J38-K38</f>
        <v/>
      </c>
      <c r="M38" t="inlineStr">
        <is>
          <t>FIX BERUHÁZÁS</t>
        </is>
      </c>
      <c r="N38" t="inlineStr">
        <is>
          <t>CIB BEVÉTELI SZÁMLA (511)</t>
        </is>
      </c>
      <c r="O38" t="inlineStr">
        <is>
          <t>Egyéb gépek, berendezések</t>
        </is>
      </c>
      <c r="P38" t="inlineStr">
        <is>
          <t>Iktatva</t>
        </is>
      </c>
      <c r="Q38" s="1" t="inlineStr">
        <is>
          <t>4102</t>
        </is>
      </c>
      <c r="R38" t="inlineStr">
        <is>
          <t>10403208-50526978-85671001 Pontozott Világ Kft Közlemény: 19716 rendelés</t>
        </is>
      </c>
      <c r="U38" t="inlineStr">
        <is>
          <t>EGYÉB TERHELÉS</t>
        </is>
      </c>
      <c r="V38" t="inlineStr">
        <is>
          <t>2022-05-23</t>
        </is>
      </c>
      <c r="W38" t="inlineStr">
        <is>
          <t>{'transaction_date': '2022.05.23', 'transaction_id': '', 'transaction_cost_amount': '-35648', 'transaction_cost_currency': 'HUF', 'transaction_supplier_name': '', 'transaction_partner_account': '', 'transaction_message': '10403208-50526978-85671001 Pontozott Világ Kft Közlemény: 19716 rendelés', 'transaction_type': 'EGYÉB TERHELÉS'}</t>
        </is>
      </c>
    </row>
    <row r="39">
      <c r="A39" t="inlineStr">
        <is>
          <t>EXP-2022-002473</t>
        </is>
      </c>
      <c r="B39" t="inlineStr">
        <is>
          <t>2022-05</t>
        </is>
      </c>
      <c r="C39" t="inlineStr">
        <is>
          <t>2022-05-23</t>
        </is>
      </c>
      <c r="D39" t="inlineStr">
        <is>
          <t>CIB Bank</t>
        </is>
      </c>
      <c r="E39" t="inlineStr">
        <is>
          <t>Átutalás díja</t>
        </is>
      </c>
      <c r="F39" t="n">
        <v>83</v>
      </c>
      <c r="G39" t="inlineStr">
        <is>
          <t>HUF</t>
        </is>
      </c>
      <c r="H39" t="n">
        <v>1</v>
      </c>
      <c r="I39" t="n">
        <v>0</v>
      </c>
      <c r="J39">
        <f>F39*H39</f>
        <v/>
      </c>
      <c r="K39">
        <f>(F39*H39) / ( 1 + I39 / 100)</f>
        <v/>
      </c>
      <c r="L39">
        <f>J39-K39</f>
        <v/>
      </c>
      <c r="M39" t="inlineStr">
        <is>
          <t>ÁLLANDÓ KÖLTSÉG</t>
        </is>
      </c>
      <c r="N39" t="inlineStr">
        <is>
          <t>CIB BEVÉTELI SZÁMLA (511)</t>
        </is>
      </c>
      <c r="O39" t="inlineStr">
        <is>
          <t>Banki költség</t>
        </is>
      </c>
      <c r="P39" t="inlineStr">
        <is>
          <t>Nem kell iktatni</t>
        </is>
      </c>
      <c r="R39" t="inlineStr">
        <is>
          <t>AD-Bankközi átutalás GIRO-n HUF 83,25 CB3ADFKT1                 H0Az</t>
        </is>
      </c>
      <c r="U39" t="inlineStr">
        <is>
          <t>DÍJ, KAMAT</t>
        </is>
      </c>
      <c r="V39" t="inlineStr">
        <is>
          <t>2022-05-23</t>
        </is>
      </c>
      <c r="W39" t="inlineStr">
        <is>
          <t>{'transaction_date': '2022.05.23', 'transaction_id': '', 'transaction_cost_amount': '-83', 'transaction_cost_currency': 'HUF', 'transaction_supplier_name': '', 'transaction_partner_account': '', 'transaction_message': 'AD-Bankközi átutalás GIRO-n HUF 83,25 CB3ADFKT1                 H0Az', 'transaction_type': 'DÍJ, KAMAT'}</t>
        </is>
      </c>
    </row>
    <row r="40">
      <c r="A40" t="inlineStr">
        <is>
          <t>EXP-2022-002472</t>
        </is>
      </c>
      <c r="B40" t="inlineStr">
        <is>
          <t>2022-05</t>
        </is>
      </c>
      <c r="C40" t="inlineStr">
        <is>
          <t>2022-05-23</t>
        </is>
      </c>
      <c r="D40" t="inlineStr">
        <is>
          <t>FJ webáruház</t>
        </is>
      </c>
      <c r="E40" t="inlineStr">
        <is>
          <t>Rendelés visszatérítés</t>
        </is>
      </c>
      <c r="F40" t="n">
        <v>900</v>
      </c>
      <c r="G40" t="inlineStr">
        <is>
          <t>HUF</t>
        </is>
      </c>
      <c r="H40" t="n">
        <v>1</v>
      </c>
      <c r="I40" t="n">
        <v>27</v>
      </c>
      <c r="J40">
        <f>F40*H40</f>
        <v/>
      </c>
      <c r="K40">
        <f>(F40*H40) / ( 1 + I40 / 100)</f>
        <v/>
      </c>
      <c r="L40">
        <f>J40-K40</f>
        <v/>
      </c>
      <c r="M40" t="inlineStr">
        <is>
          <t>EGYÉB</t>
        </is>
      </c>
      <c r="N40" t="inlineStr">
        <is>
          <t>CIB BEVÉTELI SZÁMLA (511)</t>
        </is>
      </c>
      <c r="O40" t="inlineStr">
        <is>
          <t>Visszatérítés</t>
        </is>
      </c>
      <c r="P40" t="inlineStr">
        <is>
          <t>Nem kell iktatni</t>
        </is>
      </c>
      <c r="R40" t="inlineStr">
        <is>
          <t>10700701-54253243-51100005 Paál Tímea Közlemény: rendelés módosítás ORD-2022-009302</t>
        </is>
      </c>
      <c r="U40" t="inlineStr">
        <is>
          <t>ÁTUTALÁS</t>
        </is>
      </c>
      <c r="V40" t="inlineStr">
        <is>
          <t>2022-05-23</t>
        </is>
      </c>
      <c r="W40" t="inlineStr">
        <is>
          <t>{'transaction_date': '2022.05.23', 'transaction_id': '', 'transaction_cost_amount': '-900', 'transaction_cost_currency': 'HUF', 'transaction_supplier_name': '', 'transaction_partner_account': '', 'transaction_message': '10700701-54253243-51100005 Paál Tímea Közlemény: rendelés módosítás ORD-2022-009302', 'transaction_type': 'ÁTUTALÁS'}</t>
        </is>
      </c>
    </row>
    <row r="41">
      <c r="A41" t="inlineStr">
        <is>
          <t>EXP-2022-002470</t>
        </is>
      </c>
      <c r="B41" t="inlineStr">
        <is>
          <t>2022-05</t>
        </is>
      </c>
      <c r="C41" t="inlineStr">
        <is>
          <t>2022-05-24</t>
        </is>
      </c>
      <c r="D41" t="inlineStr">
        <is>
          <t>FJ webáruház</t>
        </is>
      </c>
      <c r="E41" t="inlineStr">
        <is>
          <t>Rendelés visszatérítés</t>
        </is>
      </c>
      <c r="F41" t="n">
        <v>9985</v>
      </c>
      <c r="G41" t="inlineStr">
        <is>
          <t>HUF</t>
        </is>
      </c>
      <c r="H41" t="n">
        <v>1</v>
      </c>
      <c r="I41" t="n">
        <v>27</v>
      </c>
      <c r="J41">
        <f>F41*H41</f>
        <v/>
      </c>
      <c r="K41">
        <f>(F41*H41) / ( 1 + I41 / 100)</f>
        <v/>
      </c>
      <c r="L41">
        <f>J41-K41</f>
        <v/>
      </c>
      <c r="M41" t="inlineStr">
        <is>
          <t>EGYÉB</t>
        </is>
      </c>
      <c r="N41" t="inlineStr">
        <is>
          <t>CIB BEVÉTELI SZÁMLA (511)</t>
        </is>
      </c>
      <c r="O41" t="inlineStr">
        <is>
          <t>Visszatérítés</t>
        </is>
      </c>
      <c r="P41" t="inlineStr">
        <is>
          <t>Nem kell iktatni</t>
        </is>
      </c>
      <c r="R41" t="inlineStr">
        <is>
          <t>10918001-00000113-29640004 Deák Melinda Marina Közlemény: visszáru E-FJ-2022-8631</t>
        </is>
      </c>
      <c r="U41" t="inlineStr">
        <is>
          <t>ÁTUTALÁS</t>
        </is>
      </c>
      <c r="V41" t="inlineStr">
        <is>
          <t>2022-05-24</t>
        </is>
      </c>
      <c r="W41" t="inlineStr">
        <is>
          <t>{'transaction_date': '2022.05.24', 'transaction_id': '', 'transaction_cost_amount': '-9985', 'transaction_cost_currency': 'HUF', 'transaction_supplier_name': '', 'transaction_partner_account': '', 'transaction_message': '10918001-00000113-29640004 Deák Melinda Marina Közlemény: visszáru E-FJ-2022-8631', 'transaction_type': 'ÁTUTALÁS'}</t>
        </is>
      </c>
    </row>
    <row r="42">
      <c r="A42" t="inlineStr">
        <is>
          <t>EXP-2022-002469</t>
        </is>
      </c>
      <c r="B42" t="inlineStr">
        <is>
          <t>2022-05</t>
        </is>
      </c>
      <c r="C42" t="inlineStr">
        <is>
          <t>2022-05-24</t>
        </is>
      </c>
      <c r="D42" t="inlineStr">
        <is>
          <t>CIB Bank</t>
        </is>
      </c>
      <c r="E42" t="inlineStr">
        <is>
          <t>Átutalás díja</t>
        </is>
      </c>
      <c r="F42" t="n">
        <v>83</v>
      </c>
      <c r="G42" t="inlineStr">
        <is>
          <t>HUF</t>
        </is>
      </c>
      <c r="H42" t="n">
        <v>1</v>
      </c>
      <c r="I42" t="n">
        <v>0</v>
      </c>
      <c r="J42">
        <f>F42*H42</f>
        <v/>
      </c>
      <c r="K42">
        <f>(F42*H42) / ( 1 + I42 / 100)</f>
        <v/>
      </c>
      <c r="L42">
        <f>J42-K42</f>
        <v/>
      </c>
      <c r="M42" t="inlineStr">
        <is>
          <t>ÁLLANDÓ KÖLTSÉG</t>
        </is>
      </c>
      <c r="N42" t="inlineStr">
        <is>
          <t>CIB BEVÉTELI SZÁMLA (511)</t>
        </is>
      </c>
      <c r="O42" t="inlineStr">
        <is>
          <t>Banki költség</t>
        </is>
      </c>
      <c r="P42" t="inlineStr">
        <is>
          <t>Nem kell iktatni</t>
        </is>
      </c>
      <c r="R42" t="inlineStr">
        <is>
          <t>AD-Bankközi átutalás GIRO-n HUF 83,25 CB3ADFKT1                 H02r</t>
        </is>
      </c>
      <c r="U42" t="inlineStr">
        <is>
          <t>DÍJ, KAMAT</t>
        </is>
      </c>
      <c r="V42" t="inlineStr">
        <is>
          <t>2022-05-24</t>
        </is>
      </c>
      <c r="W42" t="inlineStr">
        <is>
          <t>{'transaction_date': '2022.05.24', 'transaction_id': '', 'transaction_cost_amount': '-83', 'transaction_cost_currency': 'HUF', 'transaction_supplier_name': '', 'transaction_partner_account': '', 'transaction_message': 'AD-Bankközi átutalás GIRO-n HUF 83,25 CB3ADFKT1                 H02r', 'transaction_type': 'DÍJ, KAMAT'}</t>
        </is>
      </c>
    </row>
    <row r="43">
      <c r="A43" t="inlineStr">
        <is>
          <t>EXP-2022-002468</t>
        </is>
      </c>
      <c r="B43" t="inlineStr">
        <is>
          <t>2022-05</t>
        </is>
      </c>
      <c r="C43" t="inlineStr">
        <is>
          <t>2022-05-24</t>
        </is>
      </c>
      <c r="D43" t="inlineStr">
        <is>
          <t>FJ webáruház</t>
        </is>
      </c>
      <c r="E43" t="inlineStr">
        <is>
          <t>Rendelés visszatérítés</t>
        </is>
      </c>
      <c r="F43" t="n">
        <v>4872</v>
      </c>
      <c r="G43" t="inlineStr">
        <is>
          <t>HUF</t>
        </is>
      </c>
      <c r="H43" t="n">
        <v>1</v>
      </c>
      <c r="I43" t="n">
        <v>27</v>
      </c>
      <c r="J43">
        <f>F43*H43</f>
        <v/>
      </c>
      <c r="K43">
        <f>(F43*H43) / ( 1 + I43 / 100)</f>
        <v/>
      </c>
      <c r="L43">
        <f>J43-K43</f>
        <v/>
      </c>
      <c r="M43" t="inlineStr">
        <is>
          <t>EGYÉB</t>
        </is>
      </c>
      <c r="N43" t="inlineStr">
        <is>
          <t>CIB BEVÉTELI SZÁMLA (511)</t>
        </is>
      </c>
      <c r="O43" t="inlineStr">
        <is>
          <t>Visszatérítés</t>
        </is>
      </c>
      <c r="P43" t="inlineStr">
        <is>
          <t>Nem kell iktatni</t>
        </is>
      </c>
      <c r="R43" t="inlineStr">
        <is>
          <t xml:space="preserve">10101250-42766500-01004001 Halmay Csaba Közlemény: kedvezmény utólagos érvényesítése  E-FJ-2022-8756 </t>
        </is>
      </c>
      <c r="U43" t="inlineStr">
        <is>
          <t>ÁTUTALÁS</t>
        </is>
      </c>
      <c r="V43" t="inlineStr">
        <is>
          <t>2022-05-24</t>
        </is>
      </c>
      <c r="W43" t="inlineStr">
        <is>
          <t>{'transaction_date': '2022.05.24', 'transaction_id': '', 'transaction_cost_amount': '-4872', 'transaction_cost_currency': 'HUF', 'transaction_supplier_name': '', 'transaction_partner_account': '', 'transaction_message': '10101250-42766500-01004001 Halmay Csaba Közlemény: kedvezmény utólagos érvényesítése  E-FJ-2022-8756 ', 'transaction_type': 'ÁTUTALÁS'}</t>
        </is>
      </c>
    </row>
    <row r="44">
      <c r="A44" t="inlineStr">
        <is>
          <t>EXP-2022-002467</t>
        </is>
      </c>
      <c r="B44" t="inlineStr">
        <is>
          <t>2022-05</t>
        </is>
      </c>
      <c r="C44" t="inlineStr">
        <is>
          <t>2022-05-24</t>
        </is>
      </c>
      <c r="D44" t="inlineStr">
        <is>
          <t>CIB Bank</t>
        </is>
      </c>
      <c r="E44" t="inlineStr">
        <is>
          <t>Átutalás díja</t>
        </is>
      </c>
      <c r="F44" t="n">
        <v>83</v>
      </c>
      <c r="G44" t="inlineStr">
        <is>
          <t>HUF</t>
        </is>
      </c>
      <c r="H44" t="n">
        <v>1</v>
      </c>
      <c r="I44" t="n">
        <v>0</v>
      </c>
      <c r="J44">
        <f>F44*H44</f>
        <v/>
      </c>
      <c r="K44">
        <f>(F44*H44) / ( 1 + I44 / 100)</f>
        <v/>
      </c>
      <c r="L44">
        <f>J44-K44</f>
        <v/>
      </c>
      <c r="M44" t="inlineStr">
        <is>
          <t>ÁLLANDÓ KÖLTSÉG</t>
        </is>
      </c>
      <c r="N44" t="inlineStr">
        <is>
          <t>CIB BEVÉTELI SZÁMLA (511)</t>
        </is>
      </c>
      <c r="O44" t="inlineStr">
        <is>
          <t>Banki költség</t>
        </is>
      </c>
      <c r="P44" t="inlineStr">
        <is>
          <t>Nem kell iktatni</t>
        </is>
      </c>
      <c r="R44" t="inlineStr">
        <is>
          <t>AD-Bankközi átutalás GIRO-n HUF 83,25 CB3ADFKT1                 H02t</t>
        </is>
      </c>
      <c r="U44" t="inlineStr">
        <is>
          <t>DÍJ, KAMAT</t>
        </is>
      </c>
      <c r="V44" t="inlineStr">
        <is>
          <t>2022-05-24</t>
        </is>
      </c>
      <c r="W44" t="inlineStr">
        <is>
          <t>{'transaction_date': '2022.05.24', 'transaction_id': '', 'transaction_cost_amount': '-83', 'transaction_cost_currency': 'HUF', 'transaction_supplier_name': '', 'transaction_partner_account': '', 'transaction_message': 'AD-Bankközi átutalás GIRO-n HUF 83,25 CB3ADFKT1                 H02t', 'transaction_type': 'DÍJ, KAMAT'}</t>
        </is>
      </c>
    </row>
    <row r="45">
      <c r="A45" t="inlineStr">
        <is>
          <t>EXP-2022-002466</t>
        </is>
      </c>
      <c r="B45" t="inlineStr">
        <is>
          <t>2022-05</t>
        </is>
      </c>
      <c r="C45" t="inlineStr">
        <is>
          <t>2022-05-24</t>
        </is>
      </c>
      <c r="D45" t="inlineStr">
        <is>
          <t>FJ webáruház</t>
        </is>
      </c>
      <c r="E45" t="inlineStr">
        <is>
          <t>Rendelés visszatérítés</t>
        </is>
      </c>
      <c r="F45" t="n">
        <v>101165</v>
      </c>
      <c r="G45" t="inlineStr">
        <is>
          <t>HUF</t>
        </is>
      </c>
      <c r="H45" t="n">
        <v>1</v>
      </c>
      <c r="I45" t="n">
        <v>27</v>
      </c>
      <c r="J45">
        <f>F45*H45</f>
        <v/>
      </c>
      <c r="K45">
        <f>(F45*H45) / ( 1 + I45 / 100)</f>
        <v/>
      </c>
      <c r="L45">
        <f>J45-K45</f>
        <v/>
      </c>
      <c r="M45" t="inlineStr">
        <is>
          <t>EGYÉB</t>
        </is>
      </c>
      <c r="N45" t="inlineStr">
        <is>
          <t>CIB BEVÉTELI SZÁMLA (511)</t>
        </is>
      </c>
      <c r="O45" t="inlineStr">
        <is>
          <t>Visszatérítés</t>
        </is>
      </c>
      <c r="P45" t="inlineStr">
        <is>
          <t>Nem kell iktatni</t>
        </is>
      </c>
      <c r="R45" t="inlineStr">
        <is>
          <t>11773391-11862934 Herbai Istvánné Közlemény: visszáru e-FJ-2022-8103</t>
        </is>
      </c>
      <c r="U45" t="inlineStr">
        <is>
          <t>ÁTUTALÁS</t>
        </is>
      </c>
      <c r="V45" t="inlineStr">
        <is>
          <t>2022-05-24</t>
        </is>
      </c>
      <c r="W45" t="inlineStr">
        <is>
          <t>{'transaction_date': '2022.05.24', 'transaction_id': '', 'transaction_cost_amount': '-101165', 'transaction_cost_currency': 'HUF', 'transaction_supplier_name': '', 'transaction_partner_account': '', 'transaction_message': '11773391-11862934 Herbai Istvánné Közlemény: visszáru e-FJ-2022-8103', 'transaction_type': 'ÁTUTALÁS'}</t>
        </is>
      </c>
    </row>
    <row r="46">
      <c r="A46" t="inlineStr">
        <is>
          <t>EXP-2022-002465</t>
        </is>
      </c>
      <c r="B46" t="inlineStr">
        <is>
          <t>2022-05</t>
        </is>
      </c>
      <c r="C46" t="inlineStr">
        <is>
          <t>2022-05-24</t>
        </is>
      </c>
      <c r="D46" t="inlineStr">
        <is>
          <t>CIB Bank</t>
        </is>
      </c>
      <c r="E46" t="inlineStr">
        <is>
          <t>Átutalás díja</t>
        </is>
      </c>
      <c r="F46" t="n">
        <v>83</v>
      </c>
      <c r="G46" t="inlineStr">
        <is>
          <t>HUF</t>
        </is>
      </c>
      <c r="H46" t="n">
        <v>1</v>
      </c>
      <c r="I46" t="n">
        <v>0</v>
      </c>
      <c r="J46">
        <f>F46*H46</f>
        <v/>
      </c>
      <c r="K46">
        <f>(F46*H46) / ( 1 + I46 / 100)</f>
        <v/>
      </c>
      <c r="L46">
        <f>J46-K46</f>
        <v/>
      </c>
      <c r="M46" t="inlineStr">
        <is>
          <t>ÁLLANDÓ KÖLTSÉG</t>
        </is>
      </c>
      <c r="N46" t="inlineStr">
        <is>
          <t>CIB BEVÉTELI SZÁMLA (511)</t>
        </is>
      </c>
      <c r="O46" t="inlineStr">
        <is>
          <t>Banki költség</t>
        </is>
      </c>
      <c r="P46" t="inlineStr">
        <is>
          <t>Nem kell iktatni</t>
        </is>
      </c>
      <c r="R46" t="inlineStr">
        <is>
          <t>AD-Bankközi átutalás GIRO-n HUF 83,25 CB3ADFKT1                 H02v</t>
        </is>
      </c>
      <c r="U46" t="inlineStr">
        <is>
          <t>DÍJ, KAMAT</t>
        </is>
      </c>
      <c r="V46" t="inlineStr">
        <is>
          <t>2022-05-24</t>
        </is>
      </c>
      <c r="W46" t="inlineStr">
        <is>
          <t>{'transaction_date': '2022.05.24', 'transaction_id': '', 'transaction_cost_amount': '-83', 'transaction_cost_currency': 'HUF', 'transaction_supplier_name': '', 'transaction_partner_account': '', 'transaction_message': 'AD-Bankközi átutalás GIRO-n HUF 83,25 CB3ADFKT1                 H02v', 'transaction_type': 'DÍJ, KAMAT'}</t>
        </is>
      </c>
    </row>
    <row r="47">
      <c r="A47" t="inlineStr">
        <is>
          <t>EXP-2022-002464</t>
        </is>
      </c>
      <c r="B47" t="inlineStr">
        <is>
          <t>2022-05</t>
        </is>
      </c>
      <c r="C47" t="inlineStr">
        <is>
          <t>2022-05-24</t>
        </is>
      </c>
      <c r="D47" t="inlineStr">
        <is>
          <t>FJ webáruház</t>
        </is>
      </c>
      <c r="E47" t="inlineStr">
        <is>
          <t>Rendelés visszatérítés</t>
        </is>
      </c>
      <c r="F47" t="n">
        <v>7130</v>
      </c>
      <c r="G47" t="inlineStr">
        <is>
          <t>HUF</t>
        </is>
      </c>
      <c r="H47" t="n">
        <v>1</v>
      </c>
      <c r="I47" t="n">
        <v>27</v>
      </c>
      <c r="J47">
        <f>F47*H47</f>
        <v/>
      </c>
      <c r="K47">
        <f>(F47*H47) / ( 1 + I47 / 100)</f>
        <v/>
      </c>
      <c r="L47">
        <f>J47-K47</f>
        <v/>
      </c>
      <c r="M47" t="inlineStr">
        <is>
          <t>EGYÉB</t>
        </is>
      </c>
      <c r="N47" t="inlineStr">
        <is>
          <t>CIB BEVÉTELI SZÁMLA (511)</t>
        </is>
      </c>
      <c r="O47" t="inlineStr">
        <is>
          <t>Visszatérítés</t>
        </is>
      </c>
      <c r="P47" t="inlineStr">
        <is>
          <t>Nem kell iktatni</t>
        </is>
      </c>
      <c r="R47" t="inlineStr">
        <is>
          <t>10103661-49799300-01000002 Zana-Lajos Tímea Közlemény: visszáru E-FJ-2022-8320</t>
        </is>
      </c>
      <c r="U47" t="inlineStr">
        <is>
          <t>ÁTUTALÁS</t>
        </is>
      </c>
      <c r="V47" t="inlineStr">
        <is>
          <t>2022-05-24</t>
        </is>
      </c>
      <c r="W47" t="inlineStr">
        <is>
          <t>{'transaction_date': '2022.05.24', 'transaction_id': '', 'transaction_cost_amount': '-7130', 'transaction_cost_currency': 'HUF', 'transaction_supplier_name': '', 'transaction_partner_account': '', 'transaction_message': '10103661-49799300-01000002 Zana-Lajos Tímea Közlemény: visszáru E-FJ-2022-8320', 'transaction_type': 'ÁTUTALÁS'}</t>
        </is>
      </c>
    </row>
    <row r="48">
      <c r="A48" t="inlineStr">
        <is>
          <t>EXP-2022-002463</t>
        </is>
      </c>
      <c r="B48" t="inlineStr">
        <is>
          <t>2022-05</t>
        </is>
      </c>
      <c r="C48" t="inlineStr">
        <is>
          <t>2022-05-24</t>
        </is>
      </c>
      <c r="D48" t="inlineStr">
        <is>
          <t>CIB Bank</t>
        </is>
      </c>
      <c r="E48" t="inlineStr">
        <is>
          <t>Átutalás díja</t>
        </is>
      </c>
      <c r="F48" t="n">
        <v>83</v>
      </c>
      <c r="G48" t="inlineStr">
        <is>
          <t>HUF</t>
        </is>
      </c>
      <c r="H48" t="n">
        <v>1</v>
      </c>
      <c r="I48" t="n">
        <v>0</v>
      </c>
      <c r="J48">
        <f>F48*H48</f>
        <v/>
      </c>
      <c r="K48">
        <f>(F48*H48) / ( 1 + I48 / 100)</f>
        <v/>
      </c>
      <c r="L48">
        <f>J48-K48</f>
        <v/>
      </c>
      <c r="M48" t="inlineStr">
        <is>
          <t>ÁLLANDÓ KÖLTSÉG</t>
        </is>
      </c>
      <c r="N48" t="inlineStr">
        <is>
          <t>CIB BEVÉTELI SZÁMLA (511)</t>
        </is>
      </c>
      <c r="O48" t="inlineStr">
        <is>
          <t>Banki költség</t>
        </is>
      </c>
      <c r="P48" t="inlineStr">
        <is>
          <t>Nem kell iktatni</t>
        </is>
      </c>
      <c r="R48" t="inlineStr">
        <is>
          <t>AD-Bankközi átutalás GIRO-n HUF 83,25 CB3ADFKT1                 H02x</t>
        </is>
      </c>
      <c r="U48" t="inlineStr">
        <is>
          <t>DÍJ, KAMAT</t>
        </is>
      </c>
      <c r="V48" t="inlineStr">
        <is>
          <t>2022-05-24</t>
        </is>
      </c>
      <c r="W48" t="inlineStr">
        <is>
          <t>{'transaction_date': '2022.05.24', 'transaction_id': '', 'transaction_cost_amount': '-83', 'transaction_cost_currency': 'HUF', 'transaction_supplier_name': '', 'transaction_partner_account': '', 'transaction_message': 'AD-Bankközi átutalás GIRO-n HUF 83,25 CB3ADFKT1                 H02x', 'transaction_type': 'DÍJ, KAMAT'}</t>
        </is>
      </c>
    </row>
    <row r="49">
      <c r="A49" t="inlineStr">
        <is>
          <t>EXP-2022-002462</t>
        </is>
      </c>
      <c r="B49" t="inlineStr">
        <is>
          <t>2022-05</t>
        </is>
      </c>
      <c r="C49" t="inlineStr">
        <is>
          <t>2022-05-24</t>
        </is>
      </c>
      <c r="D49" t="inlineStr">
        <is>
          <t>FJ webáruház</t>
        </is>
      </c>
      <c r="E49" t="inlineStr">
        <is>
          <t>Rendelés visszatérítés</t>
        </is>
      </c>
      <c r="F49" t="n">
        <v>6135</v>
      </c>
      <c r="G49" t="inlineStr">
        <is>
          <t>HUF</t>
        </is>
      </c>
      <c r="H49" t="n">
        <v>1</v>
      </c>
      <c r="I49" t="n">
        <v>27</v>
      </c>
      <c r="J49">
        <f>F49*H49</f>
        <v/>
      </c>
      <c r="K49">
        <f>(F49*H49) / ( 1 + I49 / 100)</f>
        <v/>
      </c>
      <c r="L49">
        <f>J49-K49</f>
        <v/>
      </c>
      <c r="M49" t="inlineStr">
        <is>
          <t>EGYÉB</t>
        </is>
      </c>
      <c r="N49" t="inlineStr">
        <is>
          <t>CIB BEVÉTELI SZÁMLA (511)</t>
        </is>
      </c>
      <c r="O49" t="inlineStr">
        <is>
          <t>Visszatérítés</t>
        </is>
      </c>
      <c r="P49" t="inlineStr">
        <is>
          <t>Nem kell iktatni</t>
        </is>
      </c>
      <c r="R49" t="inlineStr">
        <is>
          <t>11773339-01770689-00000000 Molnár Anna Közlemény: visszáru E-fj-2022-7583, E-fj-2022-7133</t>
        </is>
      </c>
      <c r="U49" t="inlineStr">
        <is>
          <t>EGYÉB TERHELÉS</t>
        </is>
      </c>
      <c r="V49" t="inlineStr">
        <is>
          <t>2022-05-24</t>
        </is>
      </c>
      <c r="W49" t="inlineStr">
        <is>
          <t>{'transaction_date': '2022.05.24', 'transaction_id': '', 'transaction_cost_amount': '-6135', 'transaction_cost_currency': 'HUF', 'transaction_supplier_name': '', 'transaction_partner_account': '', 'transaction_message': '11773339-01770689-00000000 Molnár Anna Közlemény: visszáru E-fj-2022-7583, E-fj-2022-7133', 'transaction_type': 'EGYÉB TERHELÉS'}</t>
        </is>
      </c>
    </row>
    <row r="50">
      <c r="A50" t="inlineStr">
        <is>
          <t>EXP-2022-002461</t>
        </is>
      </c>
      <c r="B50" t="inlineStr">
        <is>
          <t>2022-05</t>
        </is>
      </c>
      <c r="C50" t="inlineStr">
        <is>
          <t>2022-05-24</t>
        </is>
      </c>
      <c r="D50" t="inlineStr">
        <is>
          <t>CIB Bank</t>
        </is>
      </c>
      <c r="E50" t="inlineStr">
        <is>
          <t>Átutalás díja</t>
        </is>
      </c>
      <c r="F50" t="n">
        <v>83</v>
      </c>
      <c r="G50" t="inlineStr">
        <is>
          <t>HUF</t>
        </is>
      </c>
      <c r="H50" t="n">
        <v>1</v>
      </c>
      <c r="I50" t="n">
        <v>0</v>
      </c>
      <c r="J50">
        <f>F50*H50</f>
        <v/>
      </c>
      <c r="K50">
        <f>(F50*H50) / ( 1 + I50 / 100)</f>
        <v/>
      </c>
      <c r="L50">
        <f>J50-K50</f>
        <v/>
      </c>
      <c r="M50" t="inlineStr">
        <is>
          <t>ÁLLANDÓ KÖLTSÉG</t>
        </is>
      </c>
      <c r="N50" t="inlineStr">
        <is>
          <t>CIB BEVÉTELI SZÁMLA (511)</t>
        </is>
      </c>
      <c r="O50" t="inlineStr">
        <is>
          <t>Banki költség</t>
        </is>
      </c>
      <c r="P50" t="inlineStr">
        <is>
          <t>Nem kell iktatni</t>
        </is>
      </c>
      <c r="R50" t="inlineStr">
        <is>
          <t>AD-Bankközi átutalás GIRO-n HUF 83,25 CB3ADFKT1                 H03j</t>
        </is>
      </c>
      <c r="U50" t="inlineStr">
        <is>
          <t>DÍJ, KAMAT</t>
        </is>
      </c>
      <c r="V50" t="inlineStr">
        <is>
          <t>2022-05-24</t>
        </is>
      </c>
      <c r="W50" t="inlineStr">
        <is>
          <t>{'transaction_date': '2022.05.24', 'transaction_id': '', 'transaction_cost_amount': '-83', 'transaction_cost_currency': 'HUF', 'transaction_supplier_name': '', 'transaction_partner_account': '', 'transaction_message': 'AD-Bankközi átutalás GIRO-n HUF 83,25 CB3ADFKT1                 H03j', 'transaction_type': 'DÍJ, KAMAT'}</t>
        </is>
      </c>
    </row>
    <row r="51">
      <c r="A51" t="inlineStr">
        <is>
          <t>EXP-2022-002460</t>
        </is>
      </c>
      <c r="B51" t="inlineStr">
        <is>
          <t>2022-05</t>
        </is>
      </c>
      <c r="C51" t="inlineStr">
        <is>
          <t>2022-05-25</t>
        </is>
      </c>
      <c r="D51" t="inlineStr">
        <is>
          <t>ALD Automotive</t>
        </is>
      </c>
      <c r="E51" t="inlineStr">
        <is>
          <t>Toyota RXM-396</t>
        </is>
      </c>
      <c r="F51" t="n">
        <v>126707</v>
      </c>
      <c r="G51" t="inlineStr">
        <is>
          <t>HUF</t>
        </is>
      </c>
      <c r="H51" t="n">
        <v>1</v>
      </c>
      <c r="I51" t="n">
        <v>27</v>
      </c>
      <c r="J51">
        <f>F51*H51</f>
        <v/>
      </c>
      <c r="K51">
        <f>(F51*H51) / ( 1 + I51 / 100)</f>
        <v/>
      </c>
      <c r="L51">
        <f>J51-K51</f>
        <v/>
      </c>
      <c r="M51" t="inlineStr">
        <is>
          <t>ÁLLANDÓ KÖLTSÉG</t>
        </is>
      </c>
      <c r="N51" t="inlineStr">
        <is>
          <t>CIB BEVÉTELI SZÁMLA (511)</t>
        </is>
      </c>
      <c r="O51" t="inlineStr">
        <is>
          <t>Gépjármű üzemeltetés</t>
        </is>
      </c>
      <c r="P51" t="inlineStr">
        <is>
          <t>Iktatva</t>
        </is>
      </c>
      <c r="Q51" s="1" t="inlineStr">
        <is>
          <t>3673</t>
        </is>
      </c>
      <c r="R51" t="inlineStr">
        <is>
          <t>12001008-01670144-00100002 ALD Automotive Magyarország Kft. Közlemény: SLI223865</t>
        </is>
      </c>
      <c r="U51" t="inlineStr">
        <is>
          <t>ÁTUTALÁS</t>
        </is>
      </c>
      <c r="V51" t="inlineStr">
        <is>
          <t>2022-05-25</t>
        </is>
      </c>
      <c r="W51" t="inlineStr">
        <is>
          <t>{'transaction_date': '2022.05.25', 'transaction_id': '', 'transaction_cost_amount': '-126707', 'transaction_cost_currency': 'HUF', 'transaction_supplier_name': '', 'transaction_partner_account': '', 'transaction_message': '12001008-01670144-00100002 ALD Automotive Magyarország Kft. Közlemény: SLI223865', 'transaction_type': 'ÁTUTALÁS'}</t>
        </is>
      </c>
    </row>
    <row r="52">
      <c r="A52" t="inlineStr">
        <is>
          <t>EXP-2022-002459</t>
        </is>
      </c>
      <c r="B52" t="inlineStr">
        <is>
          <t>2022-05</t>
        </is>
      </c>
      <c r="C52" t="inlineStr">
        <is>
          <t>2022-05-25</t>
        </is>
      </c>
      <c r="D52" t="inlineStr">
        <is>
          <t>CIB Bank</t>
        </is>
      </c>
      <c r="E52" t="inlineStr">
        <is>
          <t>Átutalás díja</t>
        </is>
      </c>
      <c r="F52" t="n">
        <v>83</v>
      </c>
      <c r="G52" t="inlineStr">
        <is>
          <t>HUF</t>
        </is>
      </c>
      <c r="H52" t="n">
        <v>1</v>
      </c>
      <c r="I52" t="n">
        <v>0</v>
      </c>
      <c r="J52">
        <f>F52*H52</f>
        <v/>
      </c>
      <c r="K52">
        <f>(F52*H52) / ( 1 + I52 / 100)</f>
        <v/>
      </c>
      <c r="L52">
        <f>J52-K52</f>
        <v/>
      </c>
      <c r="M52" t="inlineStr">
        <is>
          <t>ÁLLANDÓ KÖLTSÉG</t>
        </is>
      </c>
      <c r="N52" t="inlineStr">
        <is>
          <t>CIB BEVÉTELI SZÁMLA (511)</t>
        </is>
      </c>
      <c r="O52" t="inlineStr">
        <is>
          <t>Banki költség</t>
        </is>
      </c>
      <c r="P52" t="inlineStr">
        <is>
          <t>Nem kell iktatni</t>
        </is>
      </c>
      <c r="R52" t="inlineStr">
        <is>
          <t>AD-Bankközi átutalás GIRO-n HUF 83,25 CB3ADFKT1                 H01V</t>
        </is>
      </c>
      <c r="U52" t="inlineStr">
        <is>
          <t>DÍJ, KAMAT</t>
        </is>
      </c>
      <c r="V52" t="inlineStr">
        <is>
          <t>2022-05-25</t>
        </is>
      </c>
      <c r="W52" t="inlineStr">
        <is>
          <t>{'transaction_date': '2022.05.25', 'transaction_id': '', 'transaction_cost_amount': '-83', 'transaction_cost_currency': 'HUF', 'transaction_supplier_name': '', 'transaction_partner_account': '', 'transaction_message': 'AD-Bankközi átutalás GIRO-n HUF 83,25 CB3ADFKT1                 H01V', 'transaction_type': 'DÍJ, KAMAT'}</t>
        </is>
      </c>
    </row>
    <row r="53">
      <c r="A53" t="inlineStr">
        <is>
          <t>EXP-2022-002458</t>
        </is>
      </c>
      <c r="B53" t="inlineStr">
        <is>
          <t>2022-05</t>
        </is>
      </c>
      <c r="C53" t="inlineStr">
        <is>
          <t>2022-05-25</t>
        </is>
      </c>
      <c r="D53" t="inlineStr">
        <is>
          <t>Bitai Ügyvédi Iroda</t>
        </is>
      </c>
      <c r="E53" t="inlineStr">
        <is>
          <t>Ügyvédi díj</t>
        </is>
      </c>
      <c r="F53" t="n">
        <v>57150</v>
      </c>
      <c r="G53" t="inlineStr">
        <is>
          <t>HUF</t>
        </is>
      </c>
      <c r="H53" t="n">
        <v>1</v>
      </c>
      <c r="I53" t="n">
        <v>27</v>
      </c>
      <c r="J53">
        <f>F53*H53</f>
        <v/>
      </c>
      <c r="K53">
        <f>(F53*H53) / ( 1 + I53 / 100)</f>
        <v/>
      </c>
      <c r="L53">
        <f>J53-K53</f>
        <v/>
      </c>
      <c r="M53" t="inlineStr">
        <is>
          <t>ÁLLANDÓ KÖLTSÉG</t>
        </is>
      </c>
      <c r="N53" t="inlineStr">
        <is>
          <t>CIB BEVÉTELI SZÁMLA (511)</t>
        </is>
      </c>
      <c r="O53" t="inlineStr">
        <is>
          <t>Egyéb szolgáltatás</t>
        </is>
      </c>
      <c r="P53" t="inlineStr">
        <is>
          <t>Iktatva</t>
        </is>
      </c>
      <c r="Q53" s="1" t="inlineStr">
        <is>
          <t>3805</t>
        </is>
      </c>
      <c r="R53" t="inlineStr">
        <is>
          <t>11707000-20490647 Bitai Ügyvédi Iroda Közlemény: E-2022-100</t>
        </is>
      </c>
      <c r="U53" t="inlineStr">
        <is>
          <t>ÁTUTALÁS</t>
        </is>
      </c>
      <c r="V53" t="inlineStr">
        <is>
          <t>2022-05-25</t>
        </is>
      </c>
      <c r="W53" t="inlineStr">
        <is>
          <t>{'transaction_date': '2022.05.25', 'transaction_id': '', 'transaction_cost_amount': '-57150', 'transaction_cost_currency': 'HUF', 'transaction_supplier_name': '', 'transaction_partner_account': '', 'transaction_message': '11707000-20490647 Bitai Ügyvédi Iroda Közlemény: E-2022-100', 'transaction_type': 'ÁTUTALÁS'}</t>
        </is>
      </c>
    </row>
    <row r="54">
      <c r="A54" t="inlineStr">
        <is>
          <t>EXP-2022-002457</t>
        </is>
      </c>
      <c r="B54" t="inlineStr">
        <is>
          <t>2022-05</t>
        </is>
      </c>
      <c r="C54" t="inlineStr">
        <is>
          <t>2022-05-25</t>
        </is>
      </c>
      <c r="D54" t="inlineStr">
        <is>
          <t>CIB Bank</t>
        </is>
      </c>
      <c r="E54" t="inlineStr">
        <is>
          <t>Átutalás díja</t>
        </is>
      </c>
      <c r="F54" t="n">
        <v>83</v>
      </c>
      <c r="G54" t="inlineStr">
        <is>
          <t>HUF</t>
        </is>
      </c>
      <c r="H54" t="n">
        <v>1</v>
      </c>
      <c r="I54" t="n">
        <v>0</v>
      </c>
      <c r="J54">
        <f>F54*H54</f>
        <v/>
      </c>
      <c r="K54">
        <f>(F54*H54) / ( 1 + I54 / 100)</f>
        <v/>
      </c>
      <c r="L54">
        <f>J54-K54</f>
        <v/>
      </c>
      <c r="M54" t="inlineStr">
        <is>
          <t>ÁLLANDÓ KÖLTSÉG</t>
        </is>
      </c>
      <c r="N54" t="inlineStr">
        <is>
          <t>CIB BEVÉTELI SZÁMLA (511)</t>
        </is>
      </c>
      <c r="O54" t="inlineStr">
        <is>
          <t>Banki költség</t>
        </is>
      </c>
      <c r="P54" t="inlineStr">
        <is>
          <t>Nem kell iktatni</t>
        </is>
      </c>
      <c r="R54" t="inlineStr">
        <is>
          <t>AD-Bankközi átutalás GIRO-n HUF 83,25 CB3ADFKT1                 H01X</t>
        </is>
      </c>
      <c r="U54" t="inlineStr">
        <is>
          <t>DÍJ, KAMAT</t>
        </is>
      </c>
      <c r="V54" t="inlineStr">
        <is>
          <t>2022-05-25</t>
        </is>
      </c>
      <c r="W54" t="inlineStr">
        <is>
          <t>{'transaction_date': '2022.05.25', 'transaction_id': '', 'transaction_cost_amount': '-83', 'transaction_cost_currency': 'HUF', 'transaction_supplier_name': '', 'transaction_partner_account': '', 'transaction_message': 'AD-Bankközi átutalás GIRO-n HUF 83,25 CB3ADFKT1                 H01X', 'transaction_type': 'DÍJ, KAMAT'}</t>
        </is>
      </c>
    </row>
    <row r="55">
      <c r="A55" t="inlineStr">
        <is>
          <t>EXP-2022-002455</t>
        </is>
      </c>
      <c r="B55" t="inlineStr">
        <is>
          <t>2022-05</t>
        </is>
      </c>
      <c r="C55" t="inlineStr">
        <is>
          <t>2022-05-25</t>
        </is>
      </c>
      <c r="D55" t="inlineStr">
        <is>
          <t>CIB Bank</t>
        </is>
      </c>
      <c r="E55" t="inlineStr">
        <is>
          <t>Átutalás díja</t>
        </is>
      </c>
      <c r="F55" t="n">
        <v>1223</v>
      </c>
      <c r="G55" t="inlineStr">
        <is>
          <t>HUF</t>
        </is>
      </c>
      <c r="H55" t="n">
        <v>1</v>
      </c>
      <c r="I55" t="n">
        <v>0</v>
      </c>
      <c r="J55">
        <f>F55*H55</f>
        <v/>
      </c>
      <c r="K55">
        <f>(F55*H55) / ( 1 + I55 / 100)</f>
        <v/>
      </c>
      <c r="L55">
        <f>J55-K55</f>
        <v/>
      </c>
      <c r="M55" t="inlineStr">
        <is>
          <t>ÁLLANDÓ KÖLTSÉG</t>
        </is>
      </c>
      <c r="N55" t="inlineStr">
        <is>
          <t>CIB BEVÉTELI SZÁMLA (511)</t>
        </is>
      </c>
      <c r="O55" t="inlineStr">
        <is>
          <t>Banki költség</t>
        </is>
      </c>
      <c r="P55" t="inlineStr">
        <is>
          <t>Nem kell iktatni</t>
        </is>
      </c>
      <c r="R55" t="inlineStr">
        <is>
          <t>AD-Bankközi átutalás GIRO-n HUF 1.222,56 CB3ADFKT1                 H01Z</t>
        </is>
      </c>
      <c r="U55" t="inlineStr">
        <is>
          <t>DÍJ, KAMAT</t>
        </is>
      </c>
      <c r="V55" t="inlineStr">
        <is>
          <t>2022-05-25</t>
        </is>
      </c>
      <c r="W55" t="inlineStr">
        <is>
          <t>{'transaction_date': '2022.05.25', 'transaction_id': '', 'transaction_cost_amount': '-1223', 'transaction_cost_currency': 'HUF', 'transaction_supplier_name': '', 'transaction_partner_account': '', 'transaction_message': 'AD-Bankközi átutalás GIRO-n HUF 1.222,56 CB3ADFKT1                 H01Z', 'transaction_type': 'DÍJ, KAMAT'}</t>
        </is>
      </c>
    </row>
    <row r="56">
      <c r="A56" t="inlineStr">
        <is>
          <t>EXP-2022-002454</t>
        </is>
      </c>
      <c r="B56" t="inlineStr">
        <is>
          <t>2022-05</t>
        </is>
      </c>
      <c r="C56" t="inlineStr">
        <is>
          <t>2022-05-26</t>
        </is>
      </c>
      <c r="D56" t="inlineStr">
        <is>
          <t>FJ webáruház</t>
        </is>
      </c>
      <c r="E56" t="inlineStr">
        <is>
          <t>Rendelés visszatérítés</t>
        </is>
      </c>
      <c r="F56" t="n">
        <v>1890</v>
      </c>
      <c r="G56" t="inlineStr">
        <is>
          <t>HUF</t>
        </is>
      </c>
      <c r="H56" t="n">
        <v>1</v>
      </c>
      <c r="I56" t="n">
        <v>27</v>
      </c>
      <c r="J56">
        <f>F56*H56</f>
        <v/>
      </c>
      <c r="K56">
        <f>(F56*H56) / ( 1 + I56 / 100)</f>
        <v/>
      </c>
      <c r="L56">
        <f>J56-K56</f>
        <v/>
      </c>
      <c r="M56" t="inlineStr">
        <is>
          <t>EGYÉB</t>
        </is>
      </c>
      <c r="N56" t="inlineStr">
        <is>
          <t>CIB BEVÉTELI SZÁMLA (511)</t>
        </is>
      </c>
      <c r="O56" t="inlineStr">
        <is>
          <t>Visszatérítés</t>
        </is>
      </c>
      <c r="P56" t="inlineStr">
        <is>
          <t>Nem kell iktatni</t>
        </is>
      </c>
      <c r="R56" t="inlineStr">
        <is>
          <t>11600006-00000000-18499106 Seres Krisztina Közlemény: rendelés módosítás ORD-2022-009149</t>
        </is>
      </c>
      <c r="U56" t="inlineStr">
        <is>
          <t>ÁTUTALÁS</t>
        </is>
      </c>
      <c r="V56" t="inlineStr">
        <is>
          <t>2022-05-26</t>
        </is>
      </c>
      <c r="W56" t="inlineStr">
        <is>
          <t>{'transaction_date': '2022.05.26', 'transaction_id': '', 'transaction_cost_amount': '-1890', 'transaction_cost_currency': 'HUF', 'transaction_supplier_name': '', 'transaction_partner_account': '', 'transaction_message': '11600006-00000000-18499106 Seres Krisztina Közlemény: rendelés módosítás ORD-2022-009149', 'transaction_type': 'ÁTUTALÁS'}</t>
        </is>
      </c>
    </row>
    <row r="57">
      <c r="A57" t="inlineStr">
        <is>
          <t>EXP-2022-002453</t>
        </is>
      </c>
      <c r="B57" t="inlineStr">
        <is>
          <t>2022-05</t>
        </is>
      </c>
      <c r="C57" t="inlineStr">
        <is>
          <t>2022-05-26</t>
        </is>
      </c>
      <c r="D57" t="inlineStr">
        <is>
          <t>CIB Bank</t>
        </is>
      </c>
      <c r="E57" t="inlineStr">
        <is>
          <t>Átutalás díja</t>
        </is>
      </c>
      <c r="F57" t="n">
        <v>83</v>
      </c>
      <c r="G57" t="inlineStr">
        <is>
          <t>HUF</t>
        </is>
      </c>
      <c r="H57" t="n">
        <v>1</v>
      </c>
      <c r="I57" t="n">
        <v>0</v>
      </c>
      <c r="J57">
        <f>F57*H57</f>
        <v/>
      </c>
      <c r="K57">
        <f>(F57*H57) / ( 1 + I57 / 100)</f>
        <v/>
      </c>
      <c r="L57">
        <f>J57-K57</f>
        <v/>
      </c>
      <c r="M57" t="inlineStr">
        <is>
          <t>ÁLLANDÓ KÖLTSÉG</t>
        </is>
      </c>
      <c r="N57" t="inlineStr">
        <is>
          <t>CIB BEVÉTELI SZÁMLA (511)</t>
        </is>
      </c>
      <c r="O57" t="inlineStr">
        <is>
          <t>Banki költség</t>
        </is>
      </c>
      <c r="P57" t="inlineStr">
        <is>
          <t>Nem kell iktatni</t>
        </is>
      </c>
      <c r="R57" t="inlineStr">
        <is>
          <t>AD-Bankközi átutalás GIRO-n HUF 83,25 CB3ADFKT1                 H01v</t>
        </is>
      </c>
      <c r="U57" t="inlineStr">
        <is>
          <t>DÍJ, KAMAT</t>
        </is>
      </c>
      <c r="V57" t="inlineStr">
        <is>
          <t>2022-05-26</t>
        </is>
      </c>
      <c r="W57" t="inlineStr">
        <is>
          <t>{'transaction_date': '2022.05.26', 'transaction_id': '', 'transaction_cost_amount': '-83', 'transaction_cost_currency': 'HUF', 'transaction_supplier_name': '', 'transaction_partner_account': '', 'transaction_message': 'AD-Bankközi átutalás GIRO-n HUF 83,25 CB3ADFKT1                 H01v', 'transaction_type': 'DÍJ, KAMAT'}</t>
        </is>
      </c>
    </row>
    <row r="58">
      <c r="A58" t="inlineStr">
        <is>
          <t>EXP-2022-002452</t>
        </is>
      </c>
      <c r="B58" t="inlineStr">
        <is>
          <t>2022-05</t>
        </is>
      </c>
      <c r="C58" t="inlineStr">
        <is>
          <t>2022-05-26</t>
        </is>
      </c>
      <c r="D58" t="inlineStr">
        <is>
          <t>FJ webáruház</t>
        </is>
      </c>
      <c r="E58" t="inlineStr">
        <is>
          <t>Rendelés visszatérítés</t>
        </is>
      </c>
      <c r="F58" t="n">
        <v>2390</v>
      </c>
      <c r="G58" t="inlineStr">
        <is>
          <t>HUF</t>
        </is>
      </c>
      <c r="H58" t="n">
        <v>1</v>
      </c>
      <c r="I58" t="n">
        <v>27</v>
      </c>
      <c r="J58">
        <f>F58*H58</f>
        <v/>
      </c>
      <c r="K58">
        <f>(F58*H58) / ( 1 + I58 / 100)</f>
        <v/>
      </c>
      <c r="L58">
        <f>J58-K58</f>
        <v/>
      </c>
      <c r="M58" t="inlineStr">
        <is>
          <t>EGYÉB</t>
        </is>
      </c>
      <c r="N58" t="inlineStr">
        <is>
          <t>CIB BEVÉTELI SZÁMLA (511)</t>
        </is>
      </c>
      <c r="O58" t="inlineStr">
        <is>
          <t>Visszatérítés</t>
        </is>
      </c>
      <c r="P58" t="inlineStr">
        <is>
          <t>Nem kell iktatni</t>
        </is>
      </c>
      <c r="R58" t="inlineStr">
        <is>
          <t>11600006-00000000-29720611 Lipcsei István Közlemény: rendelés módosítás ORD-2022-009252</t>
        </is>
      </c>
      <c r="U58" t="inlineStr">
        <is>
          <t>ÁTUTALÁS</t>
        </is>
      </c>
      <c r="V58" t="inlineStr">
        <is>
          <t>2022-05-26</t>
        </is>
      </c>
      <c r="W58" t="inlineStr">
        <is>
          <t>{'transaction_date': '2022.05.26', 'transaction_id': '', 'transaction_cost_amount': '-2390', 'transaction_cost_currency': 'HUF', 'transaction_supplier_name': '', 'transaction_partner_account': '', 'transaction_message': '11600006-00000000-29720611 Lipcsei István Közlemény: rendelés módosítás ORD-2022-009252', 'transaction_type': 'ÁTUTALÁS'}</t>
        </is>
      </c>
    </row>
    <row r="59">
      <c r="A59" t="inlineStr">
        <is>
          <t>EXP-2022-002451</t>
        </is>
      </c>
      <c r="B59" t="inlineStr">
        <is>
          <t>2022-05</t>
        </is>
      </c>
      <c r="C59" t="inlineStr">
        <is>
          <t>2022-05-26</t>
        </is>
      </c>
      <c r="D59" t="inlineStr">
        <is>
          <t>CIB Bank</t>
        </is>
      </c>
      <c r="E59" t="inlineStr">
        <is>
          <t>Átutalás díja</t>
        </is>
      </c>
      <c r="F59" t="n">
        <v>83</v>
      </c>
      <c r="G59" t="inlineStr">
        <is>
          <t>HUF</t>
        </is>
      </c>
      <c r="H59" t="n">
        <v>1</v>
      </c>
      <c r="I59" t="n">
        <v>0</v>
      </c>
      <c r="J59">
        <f>F59*H59</f>
        <v/>
      </c>
      <c r="K59">
        <f>(F59*H59) / ( 1 + I59 / 100)</f>
        <v/>
      </c>
      <c r="L59">
        <f>J59-K59</f>
        <v/>
      </c>
      <c r="M59" t="inlineStr">
        <is>
          <t>ÁLLANDÓ KÖLTSÉG</t>
        </is>
      </c>
      <c r="N59" t="inlineStr">
        <is>
          <t>CIB BEVÉTELI SZÁMLA (511)</t>
        </is>
      </c>
      <c r="O59" t="inlineStr">
        <is>
          <t>Banki költség</t>
        </is>
      </c>
      <c r="P59" t="inlineStr">
        <is>
          <t>Nem kell iktatni</t>
        </is>
      </c>
      <c r="R59" t="inlineStr">
        <is>
          <t>AD-Bankközi átutalás GIRO-n HUF 83,25 CB3ADFKT1                 H01x</t>
        </is>
      </c>
      <c r="U59" t="inlineStr">
        <is>
          <t>DÍJ, KAMAT</t>
        </is>
      </c>
      <c r="V59" t="inlineStr">
        <is>
          <t>2022-05-26</t>
        </is>
      </c>
      <c r="W59" t="inlineStr">
        <is>
          <t>{'transaction_date': '2022.05.26', 'transaction_id': '', 'transaction_cost_amount': '-83', 'transaction_cost_currency': 'HUF', 'transaction_supplier_name': '', 'transaction_partner_account': '', 'transaction_message': 'AD-Bankközi átutalás GIRO-n HUF 83,25 CB3ADFKT1                 H01x', 'transaction_type': 'DÍJ, KAMAT'}</t>
        </is>
      </c>
    </row>
    <row r="60">
      <c r="A60" t="inlineStr">
        <is>
          <t>EXP-2022-002450</t>
        </is>
      </c>
      <c r="B60" t="inlineStr">
        <is>
          <t>2022-05</t>
        </is>
      </c>
      <c r="C60" t="inlineStr">
        <is>
          <t>2022-05-26</t>
        </is>
      </c>
      <c r="D60" t="inlineStr">
        <is>
          <t>FJ webáruház</t>
        </is>
      </c>
      <c r="E60" t="inlineStr">
        <is>
          <t>Rendelés visszatérítés</t>
        </is>
      </c>
      <c r="F60" t="n">
        <v>3220</v>
      </c>
      <c r="G60" t="inlineStr">
        <is>
          <t>HUF</t>
        </is>
      </c>
      <c r="H60" t="n">
        <v>1</v>
      </c>
      <c r="I60" t="n">
        <v>27</v>
      </c>
      <c r="J60">
        <f>F60*H60</f>
        <v/>
      </c>
      <c r="K60">
        <f>(F60*H60) / ( 1 + I60 / 100)</f>
        <v/>
      </c>
      <c r="L60">
        <f>J60-K60</f>
        <v/>
      </c>
      <c r="M60" t="inlineStr">
        <is>
          <t>EGYÉB</t>
        </is>
      </c>
      <c r="N60" t="inlineStr">
        <is>
          <t>CIB BEVÉTELI SZÁMLA (511)</t>
        </is>
      </c>
      <c r="O60" t="inlineStr">
        <is>
          <t>Visszatérítés</t>
        </is>
      </c>
      <c r="P60" t="inlineStr">
        <is>
          <t>Nem kell iktatni</t>
        </is>
      </c>
      <c r="R60" t="inlineStr">
        <is>
          <t>11600006-00000000-96450440 Harmati György Közlemény: rendelés módosítás ORD-2022-009120</t>
        </is>
      </c>
      <c r="U60" t="inlineStr">
        <is>
          <t>ÁTUTALÁS</t>
        </is>
      </c>
      <c r="V60" t="inlineStr">
        <is>
          <t>2022-05-26</t>
        </is>
      </c>
      <c r="W60" t="inlineStr">
        <is>
          <t>{'transaction_date': '2022.05.26', 'transaction_id': '', 'transaction_cost_amount': '-3220', 'transaction_cost_currency': 'HUF', 'transaction_supplier_name': '', 'transaction_partner_account': '', 'transaction_message': '11600006-00000000-96450440 Harmati György Közlemény: rendelés módosítás ORD-2022-009120', 'transaction_type': 'ÁTUTALÁS'}</t>
        </is>
      </c>
    </row>
    <row r="61">
      <c r="A61" t="inlineStr">
        <is>
          <t>EXP-2022-002449</t>
        </is>
      </c>
      <c r="B61" t="inlineStr">
        <is>
          <t>2022-05</t>
        </is>
      </c>
      <c r="C61" t="inlineStr">
        <is>
          <t>2022-05-26</t>
        </is>
      </c>
      <c r="D61" t="inlineStr">
        <is>
          <t>CIB Bank</t>
        </is>
      </c>
      <c r="E61" t="inlineStr">
        <is>
          <t>Átutalás díja</t>
        </is>
      </c>
      <c r="F61" t="n">
        <v>83</v>
      </c>
      <c r="G61" t="inlineStr">
        <is>
          <t>HUF</t>
        </is>
      </c>
      <c r="H61" t="n">
        <v>1</v>
      </c>
      <c r="I61" t="n">
        <v>0</v>
      </c>
      <c r="J61">
        <f>F61*H61</f>
        <v/>
      </c>
      <c r="K61">
        <f>(F61*H61) / ( 1 + I61 / 100)</f>
        <v/>
      </c>
      <c r="L61">
        <f>J61-K61</f>
        <v/>
      </c>
      <c r="M61" t="inlineStr">
        <is>
          <t>ÁLLANDÓ KÖLTSÉG</t>
        </is>
      </c>
      <c r="N61" t="inlineStr">
        <is>
          <t>CIB BEVÉTELI SZÁMLA (511)</t>
        </is>
      </c>
      <c r="O61" t="inlineStr">
        <is>
          <t>Banki költség</t>
        </is>
      </c>
      <c r="P61" t="inlineStr">
        <is>
          <t>Nem kell iktatni</t>
        </is>
      </c>
      <c r="R61" t="inlineStr">
        <is>
          <t>AD-Bankközi átutalás GIRO-n HUF 83,25 CB3ADFKT1                 H01z</t>
        </is>
      </c>
      <c r="U61" t="inlineStr">
        <is>
          <t>DÍJ, KAMAT</t>
        </is>
      </c>
      <c r="V61" t="inlineStr">
        <is>
          <t>2022-05-26</t>
        </is>
      </c>
      <c r="W61" t="inlineStr">
        <is>
          <t>{'transaction_date': '2022.05.26', 'transaction_id': '', 'transaction_cost_amount': '-83', 'transaction_cost_currency': 'HUF', 'transaction_supplier_name': '', 'transaction_partner_account': '', 'transaction_message': 'AD-Bankközi átutalás GIRO-n HUF 83,25 CB3ADFKT1                 H01z', 'transaction_type': 'DÍJ, KAMAT'}</t>
        </is>
      </c>
    </row>
    <row r="62">
      <c r="A62" t="inlineStr">
        <is>
          <t>EXP-2022-002448</t>
        </is>
      </c>
      <c r="B62" t="inlineStr">
        <is>
          <t>2022-05</t>
        </is>
      </c>
      <c r="C62" t="inlineStr">
        <is>
          <t>2022-05-26</t>
        </is>
      </c>
      <c r="D62" t="inlineStr">
        <is>
          <t>FJ webáruház</t>
        </is>
      </c>
      <c r="E62" t="inlineStr">
        <is>
          <t>Rendelés visszatérítés</t>
        </is>
      </c>
      <c r="F62" t="n">
        <v>900</v>
      </c>
      <c r="G62" t="inlineStr">
        <is>
          <t>HUF</t>
        </is>
      </c>
      <c r="H62" t="n">
        <v>1</v>
      </c>
      <c r="I62" t="n">
        <v>27</v>
      </c>
      <c r="J62">
        <f>F62*H62</f>
        <v/>
      </c>
      <c r="K62">
        <f>(F62*H62) / ( 1 + I62 / 100)</f>
        <v/>
      </c>
      <c r="L62">
        <f>J62-K62</f>
        <v/>
      </c>
      <c r="M62" t="inlineStr">
        <is>
          <t>EGYÉB</t>
        </is>
      </c>
      <c r="N62" t="inlineStr">
        <is>
          <t>CIB BEVÉTELI SZÁMLA (511)</t>
        </is>
      </c>
      <c r="O62" t="inlineStr">
        <is>
          <t>Visszatérítés</t>
        </is>
      </c>
      <c r="P62" t="inlineStr">
        <is>
          <t>Nem kell iktatni</t>
        </is>
      </c>
      <c r="R62" t="inlineStr">
        <is>
          <t>10402245-86755665-87751004 Rávai Béla Imre Közlemény: rendelés módosítás ORD-2022-009223</t>
        </is>
      </c>
      <c r="U62" t="inlineStr">
        <is>
          <t>ÁTUTALÁS</t>
        </is>
      </c>
      <c r="V62" t="inlineStr">
        <is>
          <t>2022-05-26</t>
        </is>
      </c>
      <c r="W62" t="inlineStr">
        <is>
          <t>{'transaction_date': '2022.05.26', 'transaction_id': '', 'transaction_cost_amount': '-900', 'transaction_cost_currency': 'HUF', 'transaction_supplier_name': '', 'transaction_partner_account': '', 'transaction_message': '10402245-86755665-87751004 Rávai Béla Imre Közlemény: rendelés módosítás ORD-2022-009223', 'transaction_type': 'ÁTUTALÁS'}</t>
        </is>
      </c>
    </row>
    <row r="63">
      <c r="A63" t="inlineStr">
        <is>
          <t>EXP-2022-002447</t>
        </is>
      </c>
      <c r="B63" t="inlineStr">
        <is>
          <t>2022-05</t>
        </is>
      </c>
      <c r="C63" t="inlineStr">
        <is>
          <t>2022-05-26</t>
        </is>
      </c>
      <c r="D63" t="inlineStr">
        <is>
          <t>CIB Bank</t>
        </is>
      </c>
      <c r="E63" t="inlineStr">
        <is>
          <t>Átutalás díja</t>
        </is>
      </c>
      <c r="F63" t="n">
        <v>83</v>
      </c>
      <c r="G63" t="inlineStr">
        <is>
          <t>HUF</t>
        </is>
      </c>
      <c r="H63" t="n">
        <v>1</v>
      </c>
      <c r="I63" t="n">
        <v>0</v>
      </c>
      <c r="J63">
        <f>F63*H63</f>
        <v/>
      </c>
      <c r="K63">
        <f>(F63*H63) / ( 1 + I63 / 100)</f>
        <v/>
      </c>
      <c r="L63">
        <f>J63-K63</f>
        <v/>
      </c>
      <c r="M63" t="inlineStr">
        <is>
          <t>ÁLLANDÓ KÖLTSÉG</t>
        </is>
      </c>
      <c r="N63" t="inlineStr">
        <is>
          <t>CIB BEVÉTELI SZÁMLA (511)</t>
        </is>
      </c>
      <c r="O63" t="inlineStr">
        <is>
          <t>Banki költség</t>
        </is>
      </c>
      <c r="P63" t="inlineStr">
        <is>
          <t>Nem kell iktatni</t>
        </is>
      </c>
      <c r="R63" t="inlineStr">
        <is>
          <t>AD-Bankközi átutalás GIRO-n HUF 83,25 CB3ADFKT1                 H021</t>
        </is>
      </c>
      <c r="U63" t="inlineStr">
        <is>
          <t>DÍJ, KAMAT</t>
        </is>
      </c>
      <c r="V63" t="inlineStr">
        <is>
          <t>2022-05-26</t>
        </is>
      </c>
      <c r="W63" t="inlineStr">
        <is>
          <t>{'transaction_date': '2022.05.26', 'transaction_id': '', 'transaction_cost_amount': '-83', 'transaction_cost_currency': 'HUF', 'transaction_supplier_name': '', 'transaction_partner_account': '', 'transaction_message': 'AD-Bankközi átutalás GIRO-n HUF 83,25 CB3ADFKT1                 H021', 'transaction_type': 'DÍJ, KAMAT'}</t>
        </is>
      </c>
    </row>
    <row r="64">
      <c r="A64" t="inlineStr">
        <is>
          <t>EXP-2022-002446</t>
        </is>
      </c>
      <c r="B64" t="inlineStr">
        <is>
          <t>2022-05</t>
        </is>
      </c>
      <c r="C64" t="inlineStr">
        <is>
          <t>2022-05-26</t>
        </is>
      </c>
      <c r="D64" t="inlineStr">
        <is>
          <t>Földi-Hermann Gabriella</t>
        </is>
      </c>
      <c r="E64" t="inlineStr">
        <is>
          <t>Munkabér</t>
        </is>
      </c>
      <c r="F64" t="n">
        <v>180000</v>
      </c>
      <c r="G64" t="inlineStr">
        <is>
          <t>HUF</t>
        </is>
      </c>
      <c r="H64" t="n">
        <v>1</v>
      </c>
      <c r="I64" t="n">
        <v>0</v>
      </c>
      <c r="J64">
        <f>F64*H64</f>
        <v/>
      </c>
      <c r="K64">
        <f>(F64*H64) / ( 1 + I64 / 100)</f>
        <v/>
      </c>
      <c r="L64">
        <f>J64-K64</f>
        <v/>
      </c>
      <c r="M64" t="inlineStr">
        <is>
          <t>ÁLLANDÓ KÖLTSÉG</t>
        </is>
      </c>
      <c r="N64" t="inlineStr">
        <is>
          <t>CIB BEVÉTELI SZÁMLA (511)</t>
        </is>
      </c>
      <c r="O64" t="inlineStr">
        <is>
          <t>Bérköltség</t>
        </is>
      </c>
      <c r="P64" t="inlineStr">
        <is>
          <t>Nem kell iktatni</t>
        </is>
      </c>
      <c r="R64" t="inlineStr">
        <is>
          <t>12010453-01707586-00100001 Földi-Hermann Gabriella Közlemény: munkabér</t>
        </is>
      </c>
      <c r="U64" t="inlineStr">
        <is>
          <t>ÁTUTALÁS</t>
        </is>
      </c>
      <c r="V64" t="inlineStr">
        <is>
          <t>2022-05-26</t>
        </is>
      </c>
      <c r="W64" t="inlineStr">
        <is>
          <t>{'transaction_date': '2022.05.26', 'transaction_id': '', 'transaction_cost_amount': '-180000', 'transaction_cost_currency': 'HUF', 'transaction_supplier_name': '', 'transaction_partner_account': '', 'transaction_message': '12010453-01707586-00100001 Földi-Hermann Gabriella Közlemény: munkabér', 'transaction_type': 'ÁTUTALÁS'}</t>
        </is>
      </c>
    </row>
    <row r="65">
      <c r="A65" t="inlineStr">
        <is>
          <t>EXP-2022-002445</t>
        </is>
      </c>
      <c r="B65" t="inlineStr">
        <is>
          <t>2022-05</t>
        </is>
      </c>
      <c r="C65" t="inlineStr">
        <is>
          <t>2022-05-26</t>
        </is>
      </c>
      <c r="D65" t="inlineStr">
        <is>
          <t>CIB Bank</t>
        </is>
      </c>
      <c r="E65" t="inlineStr">
        <is>
          <t>Átutalás díja</t>
        </is>
      </c>
      <c r="F65" t="n">
        <v>83</v>
      </c>
      <c r="G65" t="inlineStr">
        <is>
          <t>HUF</t>
        </is>
      </c>
      <c r="H65" t="n">
        <v>1</v>
      </c>
      <c r="I65" t="n">
        <v>0</v>
      </c>
      <c r="J65">
        <f>F65*H65</f>
        <v/>
      </c>
      <c r="K65">
        <f>(F65*H65) / ( 1 + I65 / 100)</f>
        <v/>
      </c>
      <c r="L65">
        <f>J65-K65</f>
        <v/>
      </c>
      <c r="M65" t="inlineStr">
        <is>
          <t>ÁLLANDÓ KÖLTSÉG</t>
        </is>
      </c>
      <c r="N65" t="inlineStr">
        <is>
          <t>CIB BEVÉTELI SZÁMLA (511)</t>
        </is>
      </c>
      <c r="O65" t="inlineStr">
        <is>
          <t>Banki költség</t>
        </is>
      </c>
      <c r="P65" t="inlineStr">
        <is>
          <t>Nem kell iktatni</t>
        </is>
      </c>
      <c r="R65" t="inlineStr">
        <is>
          <t>AD-Bankközi átutalás GIRO-n HUF 83,25 CB3ADFKT1                 H0BF</t>
        </is>
      </c>
      <c r="U65" t="inlineStr">
        <is>
          <t>DÍJ, KAMAT</t>
        </is>
      </c>
      <c r="V65" t="inlineStr">
        <is>
          <t>2022-05-26</t>
        </is>
      </c>
      <c r="W65" t="inlineStr">
        <is>
          <t>{'transaction_date': '2022.05.26', 'transaction_id': '', 'transaction_cost_amount': '-83', 'transaction_cost_currency': 'HUF', 'transaction_supplier_name': '', 'transaction_partner_account': '', 'transaction_message': 'AD-Bankközi átutalás GIRO-n HUF 83,25 CB3ADFKT1                 H0BF', 'transaction_type': 'DÍJ, KAMAT'}</t>
        </is>
      </c>
    </row>
    <row r="66">
      <c r="A66" t="inlineStr">
        <is>
          <t>EXP-2022-002444</t>
        </is>
      </c>
      <c r="B66" t="inlineStr">
        <is>
          <t>2022-05</t>
        </is>
      </c>
      <c r="C66" t="inlineStr">
        <is>
          <t>2022-05-26</t>
        </is>
      </c>
      <c r="D66" t="inlineStr">
        <is>
          <t>Zsámboki Judit</t>
        </is>
      </c>
      <c r="E66" t="inlineStr">
        <is>
          <t>Tulajdonosi fizetés</t>
        </is>
      </c>
      <c r="F66" t="n">
        <v>1199200</v>
      </c>
      <c r="G66" t="inlineStr">
        <is>
          <t>HUF</t>
        </is>
      </c>
      <c r="H66" t="n">
        <v>1</v>
      </c>
      <c r="I66" t="n">
        <v>0</v>
      </c>
      <c r="J66">
        <f>F66*H66</f>
        <v/>
      </c>
      <c r="K66">
        <f>(F66*H66) / ( 1 + I66 / 100)</f>
        <v/>
      </c>
      <c r="L66">
        <f>J66-K66</f>
        <v/>
      </c>
      <c r="M66" t="inlineStr">
        <is>
          <t>ÁLLANDÓ KÖLTSÉG</t>
        </is>
      </c>
      <c r="N66" t="inlineStr">
        <is>
          <t>CIB BEVÉTELI SZÁMLA (511)</t>
        </is>
      </c>
      <c r="O66" t="inlineStr">
        <is>
          <t>Bérköltség</t>
        </is>
      </c>
      <c r="P66" t="inlineStr">
        <is>
          <t>Nem kell iktatni</t>
        </is>
      </c>
      <c r="R66" t="inlineStr">
        <is>
          <t>10401282-83525552-53571006 Zsámboki Attila Közlemény: Zsámboki Judit munkabér</t>
        </is>
      </c>
      <c r="U66" t="inlineStr">
        <is>
          <t>ÁTUTALÁS</t>
        </is>
      </c>
      <c r="V66" t="inlineStr">
        <is>
          <t>2022-05-26</t>
        </is>
      </c>
      <c r="W66" t="inlineStr">
        <is>
          <t>{'transaction_date': '2022.05.26', 'transaction_id': '', 'transaction_cost_amount': '-1199200', 'transaction_cost_currency': 'HUF', 'transaction_supplier_name': '', 'transaction_partner_account': '', 'transaction_message': '10401282-83525552-53571006 Zsámboki Attila Közlemény: Zsámboki Judit munkabér', 'transaction_type': 'ÁTUTALÁS'}</t>
        </is>
      </c>
    </row>
    <row r="67">
      <c r="A67" t="inlineStr">
        <is>
          <t>EXP-2022-002443</t>
        </is>
      </c>
      <c r="B67" t="inlineStr">
        <is>
          <t>2022-05</t>
        </is>
      </c>
      <c r="C67" t="inlineStr">
        <is>
          <t>2022-05-26</t>
        </is>
      </c>
      <c r="D67" t="inlineStr">
        <is>
          <t>CIB Bank</t>
        </is>
      </c>
      <c r="E67" t="inlineStr">
        <is>
          <t>Átutalás díja</t>
        </is>
      </c>
      <c r="F67" t="n">
        <v>516</v>
      </c>
      <c r="G67" t="inlineStr">
        <is>
          <t>HUF</t>
        </is>
      </c>
      <c r="H67" t="n">
        <v>1</v>
      </c>
      <c r="I67" t="n">
        <v>0</v>
      </c>
      <c r="J67">
        <f>F67*H67</f>
        <v/>
      </c>
      <c r="K67">
        <f>(F67*H67) / ( 1 + I67 / 100)</f>
        <v/>
      </c>
      <c r="L67">
        <f>J67-K67</f>
        <v/>
      </c>
      <c r="M67" t="inlineStr">
        <is>
          <t>ÁLLANDÓ KÖLTSÉG</t>
        </is>
      </c>
      <c r="N67" t="inlineStr">
        <is>
          <t>CIB BEVÉTELI SZÁMLA (511)</t>
        </is>
      </c>
      <c r="O67" t="inlineStr">
        <is>
          <t>Banki költség</t>
        </is>
      </c>
      <c r="P67" t="inlineStr">
        <is>
          <t>Nem kell iktatni</t>
        </is>
      </c>
      <c r="R67" t="inlineStr">
        <is>
          <t>AD-Bankközi átutalás GIRO-n HUF 515,66 CB3ADFKT1                 H0BH</t>
        </is>
      </c>
      <c r="U67" t="inlineStr">
        <is>
          <t>DÍJ, KAMAT</t>
        </is>
      </c>
      <c r="V67" t="inlineStr">
        <is>
          <t>2022-05-26</t>
        </is>
      </c>
      <c r="W67" t="inlineStr">
        <is>
          <t>{'transaction_date': '2022.05.26', 'transaction_id': '', 'transaction_cost_amount': '-516', 'transaction_cost_currency': 'HUF', 'transaction_supplier_name': '', 'transaction_partner_account': '', 'transaction_message': 'AD-Bankközi átutalás GIRO-n HUF 515,66 CB3ADFKT1                 H0BH', 'transaction_type': 'DÍJ, KAMAT'}</t>
        </is>
      </c>
    </row>
    <row r="68">
      <c r="A68" t="inlineStr">
        <is>
          <t>EXP-2022-002442</t>
        </is>
      </c>
      <c r="B68" t="inlineStr">
        <is>
          <t>2022-05</t>
        </is>
      </c>
      <c r="C68" t="inlineStr">
        <is>
          <t>2022-05-26</t>
        </is>
      </c>
      <c r="D68" t="inlineStr">
        <is>
          <t>Sztankó Ágnes</t>
        </is>
      </c>
      <c r="E68" t="inlineStr">
        <is>
          <t>Munkatársi fizetés</t>
        </is>
      </c>
      <c r="F68" t="n">
        <v>175000</v>
      </c>
      <c r="G68" t="inlineStr">
        <is>
          <t>HUF</t>
        </is>
      </c>
      <c r="H68" t="n">
        <v>1</v>
      </c>
      <c r="I68" t="n">
        <v>0</v>
      </c>
      <c r="J68">
        <f>F68*H68</f>
        <v/>
      </c>
      <c r="K68">
        <f>(F68*H68) / ( 1 + I68 / 100)</f>
        <v/>
      </c>
      <c r="L68">
        <f>J68-K68</f>
        <v/>
      </c>
      <c r="M68" t="inlineStr">
        <is>
          <t>ÁLLANDÓ KÖLTSÉG</t>
        </is>
      </c>
      <c r="N68" t="inlineStr">
        <is>
          <t>CIB BEVÉTELI SZÁMLA (511)</t>
        </is>
      </c>
      <c r="O68" t="inlineStr">
        <is>
          <t>Bérköltség</t>
        </is>
      </c>
      <c r="P68" t="inlineStr">
        <is>
          <t>Iktatva</t>
        </is>
      </c>
      <c r="Q68" s="1" t="inlineStr">
        <is>
          <t>4036</t>
        </is>
      </c>
      <c r="R68" t="inlineStr">
        <is>
          <t>12021006-01631688-00100006 Sztankó Ágnes Közlemény: E-SZTNK-2022-17</t>
        </is>
      </c>
      <c r="U68" t="inlineStr">
        <is>
          <t>ÁTUTALÁS</t>
        </is>
      </c>
      <c r="V68" t="inlineStr">
        <is>
          <t>2022-05-26</t>
        </is>
      </c>
      <c r="W68" t="inlineStr">
        <is>
          <t>{'transaction_date': '2022.05.26', 'transaction_id': '', 'transaction_cost_amount': '-175000', 'transaction_cost_currency': 'HUF', 'transaction_supplier_name': '', 'transaction_partner_account': '', 'transaction_message': '12021006-01631688-00100006 Sztankó Ágnes Közlemény: E-SZTNK-2022-17', 'transaction_type': 'ÁTUTALÁS'}</t>
        </is>
      </c>
    </row>
    <row r="69">
      <c r="A69" t="inlineStr">
        <is>
          <t>EXP-2022-002441</t>
        </is>
      </c>
      <c r="B69" t="inlineStr">
        <is>
          <t>2022-05</t>
        </is>
      </c>
      <c r="C69" t="inlineStr">
        <is>
          <t>2022-05-26</t>
        </is>
      </c>
      <c r="D69" t="inlineStr">
        <is>
          <t>CIB Bank</t>
        </is>
      </c>
      <c r="E69" t="inlineStr">
        <is>
          <t>Átutalás díja</t>
        </is>
      </c>
      <c r="F69" t="n">
        <v>83</v>
      </c>
      <c r="G69" t="inlineStr">
        <is>
          <t>HUF</t>
        </is>
      </c>
      <c r="H69" t="n">
        <v>1</v>
      </c>
      <c r="I69" t="n">
        <v>0</v>
      </c>
      <c r="J69">
        <f>F69*H69</f>
        <v/>
      </c>
      <c r="K69">
        <f>(F69*H69) / ( 1 + I69 / 100)</f>
        <v/>
      </c>
      <c r="L69">
        <f>J69-K69</f>
        <v/>
      </c>
      <c r="M69" t="inlineStr">
        <is>
          <t>ÁLLANDÓ KÖLTSÉG</t>
        </is>
      </c>
      <c r="N69" t="inlineStr">
        <is>
          <t>CIB BEVÉTELI SZÁMLA (511)</t>
        </is>
      </c>
      <c r="O69" t="inlineStr">
        <is>
          <t>Banki költség</t>
        </is>
      </c>
      <c r="P69" t="inlineStr">
        <is>
          <t>Nem kell iktatni</t>
        </is>
      </c>
      <c r="R69" t="inlineStr">
        <is>
          <t>AD-Bankközi átutalás GIRO-n HUF 83,25 CB3ADFKT1                 H0BJ</t>
        </is>
      </c>
      <c r="U69" t="inlineStr">
        <is>
          <t>DÍJ, KAMAT</t>
        </is>
      </c>
      <c r="V69" t="inlineStr">
        <is>
          <t>2022-05-26</t>
        </is>
      </c>
      <c r="W69" t="inlineStr">
        <is>
          <t>{'transaction_date': '2022.05.26', 'transaction_id': '', 'transaction_cost_amount': '-83', 'transaction_cost_currency': 'HUF', 'transaction_supplier_name': '', 'transaction_partner_account': '', 'transaction_message': 'AD-Bankközi átutalás GIRO-n HUF 83,25 CB3ADFKT1                 H0BJ', 'transaction_type': 'DÍJ, KAMAT'}</t>
        </is>
      </c>
    </row>
    <row r="70">
      <c r="A70" t="inlineStr">
        <is>
          <t>EXP-2022-002440</t>
        </is>
      </c>
      <c r="B70" t="inlineStr">
        <is>
          <t>2022-05</t>
        </is>
      </c>
      <c r="C70" t="inlineStr">
        <is>
          <t>2022-05-27</t>
        </is>
      </c>
      <c r="D70" t="inlineStr">
        <is>
          <t>Casada Hungary Kft.</t>
        </is>
      </c>
      <c r="E70" t="inlineStr">
        <is>
          <t>Masszázsszék</t>
        </is>
      </c>
      <c r="F70" t="n">
        <v>28000</v>
      </c>
      <c r="G70" t="inlineStr">
        <is>
          <t>HUF</t>
        </is>
      </c>
      <c r="H70" t="n">
        <v>1</v>
      </c>
      <c r="I70" t="n">
        <v>27</v>
      </c>
      <c r="J70">
        <f>F70*H70</f>
        <v/>
      </c>
      <c r="K70">
        <f>(F70*H70) / ( 1 + I70 / 100)</f>
        <v/>
      </c>
      <c r="L70">
        <f>J70-K70</f>
        <v/>
      </c>
      <c r="M70" t="inlineStr">
        <is>
          <t>EGYÉB</t>
        </is>
      </c>
      <c r="N70" t="inlineStr">
        <is>
          <t>CIB BEVÉTELI SZÁMLA (511)</t>
        </is>
      </c>
      <c r="O70" t="inlineStr">
        <is>
          <t>Magánfelhasználás</t>
        </is>
      </c>
      <c r="P70" t="inlineStr">
        <is>
          <t>Nem kell iktatni</t>
        </is>
      </c>
      <c r="R70" t="inlineStr">
        <is>
          <t>10918001-00000063-25180005 Casada Hungary Kft. Közlemény: CA-511/2021</t>
        </is>
      </c>
      <c r="U70" t="inlineStr">
        <is>
          <t>ÁTUTALÁS</t>
        </is>
      </c>
      <c r="V70" t="inlineStr">
        <is>
          <t>2022-05-27</t>
        </is>
      </c>
      <c r="W70" t="inlineStr">
        <is>
          <t>{'transaction_date': '2022.05.27', 'transaction_id': '', 'transaction_cost_amount': '-28000', 'transaction_cost_currency': 'HUF', 'transaction_supplier_name': '', 'transaction_partner_account': '', 'transaction_message': '10918001-00000063-25180005 Casada Hungary Kft. Közlemény: CA-511/2021', 'transaction_type': 'ÁTUTALÁS'}</t>
        </is>
      </c>
    </row>
    <row r="71">
      <c r="A71" t="inlineStr">
        <is>
          <t>EXP-2022-002439</t>
        </is>
      </c>
      <c r="B71" t="inlineStr">
        <is>
          <t>2022-05</t>
        </is>
      </c>
      <c r="C71" t="inlineStr">
        <is>
          <t>2022-05-27</t>
        </is>
      </c>
      <c r="D71" t="inlineStr">
        <is>
          <t>CIB Bank</t>
        </is>
      </c>
      <c r="E71" t="inlineStr">
        <is>
          <t>Átutalás díja</t>
        </is>
      </c>
      <c r="F71" t="n">
        <v>83</v>
      </c>
      <c r="G71" t="inlineStr">
        <is>
          <t>HUF</t>
        </is>
      </c>
      <c r="H71" t="n">
        <v>1</v>
      </c>
      <c r="I71" t="n">
        <v>0</v>
      </c>
      <c r="J71">
        <f>F71*H71</f>
        <v/>
      </c>
      <c r="K71">
        <f>(F71*H71) / ( 1 + I71 / 100)</f>
        <v/>
      </c>
      <c r="L71">
        <f>J71-K71</f>
        <v/>
      </c>
      <c r="M71" t="inlineStr">
        <is>
          <t>ÁLLANDÓ KÖLTSÉG</t>
        </is>
      </c>
      <c r="N71" t="inlineStr">
        <is>
          <t>CIB BEVÉTELI SZÁMLA (511)</t>
        </is>
      </c>
      <c r="O71" t="inlineStr">
        <is>
          <t>Banki költség</t>
        </is>
      </c>
      <c r="P71" t="inlineStr">
        <is>
          <t>Nem kell iktatni</t>
        </is>
      </c>
      <c r="R71" t="inlineStr">
        <is>
          <t>AD-Bankközi átutalás GIRO-n HUF 83,25 CB3ADFKT1                 H01F</t>
        </is>
      </c>
      <c r="U71" t="inlineStr">
        <is>
          <t>DÍJ, KAMAT</t>
        </is>
      </c>
      <c r="V71" t="inlineStr">
        <is>
          <t>2022-05-27</t>
        </is>
      </c>
      <c r="W71" t="inlineStr">
        <is>
          <t>{'transaction_date': '2022.05.27', 'transaction_id': '', 'transaction_cost_amount': '-83', 'transaction_cost_currency': 'HUF', 'transaction_supplier_name': '', 'transaction_partner_account': '', 'transaction_message': 'AD-Bankközi átutalás GIRO-n HUF 83,25 CB3ADFKT1                 H01F', 'transaction_type': 'DÍJ, KAMAT'}</t>
        </is>
      </c>
    </row>
    <row r="72">
      <c r="A72" t="inlineStr">
        <is>
          <t>EXP-2022-002438</t>
        </is>
      </c>
      <c r="B72" t="inlineStr">
        <is>
          <t>2022-05</t>
        </is>
      </c>
      <c r="C72" t="inlineStr">
        <is>
          <t>2022-05-20</t>
        </is>
      </c>
      <c r="D72" t="inlineStr">
        <is>
          <t>FJ webáruház</t>
        </is>
      </c>
      <c r="E72" t="inlineStr">
        <is>
          <t>Rendelés visszatérítés</t>
        </is>
      </c>
      <c r="F72" t="n">
        <v>56198</v>
      </c>
      <c r="G72" t="inlineStr">
        <is>
          <t>HUF</t>
        </is>
      </c>
      <c r="H72" t="n">
        <v>1</v>
      </c>
      <c r="I72" t="n">
        <v>27</v>
      </c>
      <c r="J72">
        <f>F72*H72</f>
        <v/>
      </c>
      <c r="K72">
        <f>(F72*H72) / ( 1 + I72 / 100)</f>
        <v/>
      </c>
      <c r="L72">
        <f>J72-K72</f>
        <v/>
      </c>
      <c r="M72" t="inlineStr">
        <is>
          <t>EGYÉB</t>
        </is>
      </c>
      <c r="N72" t="inlineStr">
        <is>
          <t>OTP Bevétel</t>
        </is>
      </c>
      <c r="O72" t="inlineStr">
        <is>
          <t>Visszatérítés</t>
        </is>
      </c>
      <c r="P72" t="inlineStr">
        <is>
          <t>Nem kell iktatni</t>
        </is>
      </c>
      <c r="R72" t="inlineStr">
        <is>
          <t>D-FJ-6651 TÉVES UTALÁS</t>
        </is>
      </c>
      <c r="S72" t="inlineStr">
        <is>
          <t>18400010-10000231-12752488</t>
        </is>
      </c>
      <c r="T72" t="inlineStr">
        <is>
          <t>KAROSINVEST ZRT.8749 ZALAKAROS</t>
        </is>
      </c>
      <c r="U72" t="inlineStr">
        <is>
          <t>AZONNALI ÁTUTALÁS</t>
        </is>
      </c>
      <c r="V72" t="inlineStr">
        <is>
          <t>2022-05-20</t>
        </is>
      </c>
      <c r="W72" t="inlineStr">
        <is>
          <t>{'transaction_type': 'AZONNALI ÁTUTALÁS', 'transaction_date': '2022.05.20', 'transaction_cost_amount': -56198.0, 'transaction_partner_account': '18400010-10000231-12752488', 'transaction_supplier_name': 'KAROSINVEST ZRT.8749 ZALAKAROS', 'transaction_message': 'D-FJ-6651 TÉVES UTALÁS', 'transaction_id': '1707.0', 'transaction_cost_currency': 'HUF'}</t>
        </is>
      </c>
      <c r="X72" t="inlineStr">
        <is>
          <t>1707.0</t>
        </is>
      </c>
    </row>
    <row r="73">
      <c r="A73" t="inlineStr">
        <is>
          <t>EXP-2022-002435</t>
        </is>
      </c>
      <c r="B73" t="inlineStr">
        <is>
          <t>2022-05</t>
        </is>
      </c>
      <c r="C73" t="inlineStr">
        <is>
          <t>2022-05-16</t>
        </is>
      </c>
      <c r="D73" t="inlineStr">
        <is>
          <t>NAV (Nemzeti Adó- és Vámhivatal)</t>
        </is>
      </c>
      <c r="E73" t="inlineStr">
        <is>
          <t>Kisvállalati adó</t>
        </is>
      </c>
      <c r="F73" t="n">
        <v>1000</v>
      </c>
      <c r="G73" t="inlineStr">
        <is>
          <t>HUF</t>
        </is>
      </c>
      <c r="H73" t="n">
        <v>1</v>
      </c>
      <c r="I73" t="n">
        <v>0</v>
      </c>
      <c r="J73">
        <f>F73*H73</f>
        <v/>
      </c>
      <c r="K73">
        <f>(F73*H73) / ( 1 + I73 / 100)</f>
        <v/>
      </c>
      <c r="L73">
        <f>J73-K73</f>
        <v/>
      </c>
      <c r="M73" t="inlineStr">
        <is>
          <t>ÁLLANDÓ KÖLTSÉG</t>
        </is>
      </c>
      <c r="N73" t="inlineStr">
        <is>
          <t>CIB BEVÉTELI SZÁMLA (511)</t>
        </is>
      </c>
      <c r="O73" t="inlineStr">
        <is>
          <t>Adó</t>
        </is>
      </c>
      <c r="P73" t="inlineStr">
        <is>
          <t>Nem kell iktatni</t>
        </is>
      </c>
      <c r="R73" t="inlineStr">
        <is>
          <t>10032000-01076356 NAV Kisvállalati adó bevételi Közlemény: Adószám: 24972370-2-42 2021. December</t>
        </is>
      </c>
      <c r="U73" t="inlineStr">
        <is>
          <t>ÁTUTALÁS</t>
        </is>
      </c>
      <c r="V73" t="inlineStr">
        <is>
          <t>2022-05-16</t>
        </is>
      </c>
      <c r="W73" t="inlineStr">
        <is>
          <t>{'transaction_date': '2022.05.16', 'transaction_id': '', 'transaction_cost_amount': '-1000', 'transaction_cost_currency': 'HUF', 'transaction_supplier_name': '', 'transaction_partner_account': '', 'transaction_message': '10032000-01076356 NAV Kisvállalati adó bevételi Közlemény: Adószám: 24972370-2-42 2021. December', 'transaction_type': 'ÁTUTALÁS'}</t>
        </is>
      </c>
    </row>
    <row r="74">
      <c r="A74" t="inlineStr">
        <is>
          <t>EXP-2022-002434</t>
        </is>
      </c>
      <c r="B74" t="inlineStr">
        <is>
          <t>2022-05</t>
        </is>
      </c>
      <c r="C74" t="inlineStr">
        <is>
          <t>2022-05-16</t>
        </is>
      </c>
      <c r="D74" t="inlineStr">
        <is>
          <t>NAV (Nemzeti Adó- és Vámhivatal)</t>
        </is>
      </c>
      <c r="E74" t="inlineStr">
        <is>
          <t>Személyi jövedelemadó</t>
        </is>
      </c>
      <c r="F74" t="n">
        <v>1000</v>
      </c>
      <c r="G74" t="inlineStr">
        <is>
          <t>HUF</t>
        </is>
      </c>
      <c r="H74" t="n">
        <v>1</v>
      </c>
      <c r="I74" t="n">
        <v>0</v>
      </c>
      <c r="J74">
        <f>F74*H74</f>
        <v/>
      </c>
      <c r="K74">
        <f>(F74*H74) / ( 1 + I74 / 100)</f>
        <v/>
      </c>
      <c r="L74">
        <f>J74-K74</f>
        <v/>
      </c>
      <c r="M74" t="inlineStr">
        <is>
          <t>ÁLLANDÓ KÖLTSÉG</t>
        </is>
      </c>
      <c r="N74" t="inlineStr">
        <is>
          <t>CIB BEVÉTELI SZÁMLA (511)</t>
        </is>
      </c>
      <c r="O74" t="inlineStr">
        <is>
          <t>Bérjárulék</t>
        </is>
      </c>
      <c r="P74" t="inlineStr">
        <is>
          <t>Nem kell iktatni</t>
        </is>
      </c>
      <c r="R74" t="inlineStr">
        <is>
          <t>10032000-06056353 NAV Személyi jövedelemadó magánsz Közlemény: Adószám: 24972370-2-42 2021. December</t>
        </is>
      </c>
      <c r="U74" t="inlineStr">
        <is>
          <t>ÁTUTALÁS</t>
        </is>
      </c>
      <c r="V74" t="inlineStr">
        <is>
          <t>2022-05-16</t>
        </is>
      </c>
      <c r="W74" t="inlineStr">
        <is>
          <t>{'transaction_date': '2022.05.16', 'transaction_id': '', 'transaction_cost_amount': '-1000', 'transaction_cost_currency': 'HUF', 'transaction_supplier_name': '', 'transaction_partner_account': '', 'transaction_message': '10032000-06056353 NAV Személyi jövedelemadó magánsz Közlemény: Adószám: 24972370-2-42 2021. December', 'transaction_type': 'ÁTUTALÁS'}</t>
        </is>
      </c>
    </row>
    <row r="75">
      <c r="A75" t="inlineStr">
        <is>
          <t>EXP-2022-002431</t>
        </is>
      </c>
      <c r="B75" t="inlineStr">
        <is>
          <t>2022-05</t>
        </is>
      </c>
      <c r="C75" t="inlineStr">
        <is>
          <t>2022-05-17</t>
        </is>
      </c>
      <c r="D75" t="inlineStr">
        <is>
          <t>Márton Zoltán Viktor</t>
        </is>
      </c>
      <c r="E75" t="inlineStr">
        <is>
          <t>Marketing tanácsadás</t>
        </is>
      </c>
      <c r="F75" t="n">
        <v>250000</v>
      </c>
      <c r="G75" t="inlineStr">
        <is>
          <t>HUF</t>
        </is>
      </c>
      <c r="H75" t="n">
        <v>1</v>
      </c>
      <c r="I75" t="n">
        <v>27</v>
      </c>
      <c r="J75">
        <f>F75*H75</f>
        <v/>
      </c>
      <c r="K75">
        <f>(F75*H75) / ( 1 + I75 / 100)</f>
        <v/>
      </c>
      <c r="L75">
        <f>J75-K75</f>
        <v/>
      </c>
      <c r="M75" t="inlineStr">
        <is>
          <t>ÁLLANDÓ KÖLTSÉG</t>
        </is>
      </c>
      <c r="N75" t="inlineStr">
        <is>
          <t>CIB BEVÉTELI SZÁMLA (511)</t>
        </is>
      </c>
      <c r="O75" t="inlineStr">
        <is>
          <t>Egyéb szolgáltatás</t>
        </is>
      </c>
      <c r="P75" t="inlineStr">
        <is>
          <t>Iktatva</t>
        </is>
      </c>
      <c r="Q75" s="1" t="inlineStr">
        <is>
          <t>3618</t>
        </is>
      </c>
      <c r="R75" t="inlineStr">
        <is>
          <t>12011186-01619180-00100009 Márton Zoltán Viktor ev. Közlemény: MZV-2022-197</t>
        </is>
      </c>
      <c r="U75" t="inlineStr">
        <is>
          <t>ÁTUTALÁS</t>
        </is>
      </c>
      <c r="V75" t="inlineStr">
        <is>
          <t>2022-05-17</t>
        </is>
      </c>
      <c r="W75" t="inlineStr">
        <is>
          <t>{'transaction_date': '2022.05.17', 'transaction_id': '', 'transaction_cost_amount': '-250000', 'transaction_cost_currency': 'HUF', 'transaction_supplier_name': '', 'transaction_partner_account': '', 'transaction_message': '12011186-01619180-00100009 Márton Zoltán Viktor ev. Közlemény: MZV-2022-197', 'transaction_type': 'ÁTUTALÁS'}</t>
        </is>
      </c>
    </row>
    <row r="76">
      <c r="A76" t="inlineStr">
        <is>
          <t>EXP-2022-002430</t>
        </is>
      </c>
      <c r="B76" t="inlineStr">
        <is>
          <t>2022-05</t>
        </is>
      </c>
      <c r="C76" t="inlineStr">
        <is>
          <t>2022-05-17</t>
        </is>
      </c>
      <c r="D76" t="inlineStr">
        <is>
          <t>CIB Bank</t>
        </is>
      </c>
      <c r="E76" t="inlineStr">
        <is>
          <t>Átutalás díja</t>
        </is>
      </c>
      <c r="F76" t="n">
        <v>108</v>
      </c>
      <c r="G76" t="inlineStr">
        <is>
          <t>HUF</t>
        </is>
      </c>
      <c r="H76" t="n">
        <v>1</v>
      </c>
      <c r="I76" t="n">
        <v>0</v>
      </c>
      <c r="J76">
        <f>F76*H76</f>
        <v/>
      </c>
      <c r="K76">
        <f>(F76*H76) / ( 1 + I76 / 100)</f>
        <v/>
      </c>
      <c r="L76">
        <f>J76-K76</f>
        <v/>
      </c>
      <c r="M76" t="inlineStr">
        <is>
          <t>ÁLLANDÓ KÖLTSÉG</t>
        </is>
      </c>
      <c r="N76" t="inlineStr">
        <is>
          <t>CIB BEVÉTELI SZÁMLA (511)</t>
        </is>
      </c>
      <c r="O76" t="inlineStr">
        <is>
          <t>Banki költség</t>
        </is>
      </c>
      <c r="P76" t="inlineStr">
        <is>
          <t>Nem kell iktatni</t>
        </is>
      </c>
      <c r="R76" t="inlineStr">
        <is>
          <t>AD-Bankközi átutalás GIRO-n HUF 107,50 CB3ADFKT1                 H01b</t>
        </is>
      </c>
      <c r="U76" t="inlineStr">
        <is>
          <t>DÍJ, KAMAT</t>
        </is>
      </c>
      <c r="V76" t="inlineStr">
        <is>
          <t>2022-05-17</t>
        </is>
      </c>
      <c r="W76" t="inlineStr">
        <is>
          <t>{'transaction_date': '2022.05.17', 'transaction_id': '', 'transaction_cost_amount': '-108', 'transaction_cost_currency': 'HUF', 'transaction_supplier_name': '', 'transaction_partner_account': '', 'transaction_message': 'AD-Bankközi átutalás GIRO-n HUF 107,50 CB3ADFKT1                 H01b', 'transaction_type': 'DÍJ, KAMAT'}</t>
        </is>
      </c>
    </row>
    <row r="77">
      <c r="A77" t="inlineStr">
        <is>
          <t>EXP-2022-002429</t>
        </is>
      </c>
      <c r="B77" t="inlineStr">
        <is>
          <t>2022-05</t>
        </is>
      </c>
      <c r="C77" t="inlineStr">
        <is>
          <t>2022-05-18</t>
        </is>
      </c>
      <c r="D77" t="inlineStr">
        <is>
          <t>Jancsovics Tamás e.v.</t>
        </is>
      </c>
      <c r="E77" t="inlineStr">
        <is>
          <t>Webáruház kezelés havi díj</t>
        </is>
      </c>
      <c r="F77" t="n">
        <v>50000</v>
      </c>
      <c r="G77" t="inlineStr">
        <is>
          <t>HUF</t>
        </is>
      </c>
      <c r="H77" t="n">
        <v>1</v>
      </c>
      <c r="I77" t="n">
        <v>0</v>
      </c>
      <c r="J77">
        <f>F77*H77</f>
        <v/>
      </c>
      <c r="K77">
        <f>(F77*H77) / ( 1 + I77 / 100)</f>
        <v/>
      </c>
      <c r="L77">
        <f>J77-K77</f>
        <v/>
      </c>
      <c r="M77" t="inlineStr">
        <is>
          <t>ÁLLANDÓ KÖLTSÉG</t>
        </is>
      </c>
      <c r="N77" t="inlineStr">
        <is>
          <t>CIB BEVÉTELI SZÁMLA (511)</t>
        </is>
      </c>
      <c r="O77" t="inlineStr">
        <is>
          <t>Egyéb szolgáltatás</t>
        </is>
      </c>
      <c r="P77" t="inlineStr">
        <is>
          <t>Iktatva</t>
        </is>
      </c>
      <c r="Q77" s="1" t="inlineStr">
        <is>
          <t>3674</t>
        </is>
      </c>
      <c r="R77" t="inlineStr">
        <is>
          <t>10700323-55543750-51100005 Jancsovics Tamás Közlemény: JNCSV-2022-28</t>
        </is>
      </c>
      <c r="U77" t="inlineStr">
        <is>
          <t>ÁTUTALÁS</t>
        </is>
      </c>
      <c r="V77" t="inlineStr">
        <is>
          <t>2022-05-18</t>
        </is>
      </c>
      <c r="W77" t="inlineStr">
        <is>
          <t>{'transaction_date': '2022.05.18', 'transaction_id': '', 'transaction_cost_amount': '-50000', 'transaction_cost_currency': 'HUF', 'transaction_supplier_name': '', 'transaction_partner_account': '', 'transaction_message': '10700323-55543750-51100005 Jancsovics Tamás Közlemény: JNCSV-2022-28', 'transaction_type': 'ÁTUTALÁS'}</t>
        </is>
      </c>
    </row>
    <row r="78">
      <c r="A78" t="inlineStr">
        <is>
          <t>EXP-2022-002428</t>
        </is>
      </c>
      <c r="B78" t="inlineStr">
        <is>
          <t>2022-05</t>
        </is>
      </c>
      <c r="C78" t="inlineStr">
        <is>
          <t>2022-05-18</t>
        </is>
      </c>
      <c r="D78" t="inlineStr">
        <is>
          <t>Lamarzol Kft</t>
        </is>
      </c>
      <c r="E78" t="inlineStr">
        <is>
          <t>Termékminta gyártás</t>
        </is>
      </c>
      <c r="F78" t="n">
        <v>17400</v>
      </c>
      <c r="G78" t="inlineStr">
        <is>
          <t>HUF</t>
        </is>
      </c>
      <c r="H78" t="n">
        <v>1</v>
      </c>
      <c r="I78" t="n">
        <v>27</v>
      </c>
      <c r="J78">
        <f>F78*H78</f>
        <v/>
      </c>
      <c r="K78">
        <f>(F78*H78) / ( 1 + I78 / 100)</f>
        <v/>
      </c>
      <c r="L78">
        <f>J78-K78</f>
        <v/>
      </c>
      <c r="M78" t="inlineStr">
        <is>
          <t>KÉSZLET BERUHÁZÁS</t>
        </is>
      </c>
      <c r="N78" t="inlineStr">
        <is>
          <t>CIB BEVÉTELI SZÁMLA (511)</t>
        </is>
      </c>
      <c r="O78" t="inlineStr">
        <is>
          <t>Anyagköltség</t>
        </is>
      </c>
      <c r="P78" t="inlineStr">
        <is>
          <t>Iktatva</t>
        </is>
      </c>
      <c r="Q78" s="1" t="inlineStr">
        <is>
          <t>3838</t>
        </is>
      </c>
      <c r="R78" t="inlineStr">
        <is>
          <t>10918001-00000072-99250002 Lamarzol Kft. Közlemény: 2022-3</t>
        </is>
      </c>
      <c r="U78" t="inlineStr">
        <is>
          <t>ÁTUTALÁS</t>
        </is>
      </c>
      <c r="V78" t="inlineStr">
        <is>
          <t>2022-05-18</t>
        </is>
      </c>
      <c r="W78" t="inlineStr">
        <is>
          <t>{'transaction_date': '2022.05.18', 'transaction_id': '', 'transaction_cost_amount': '-17400', 'transaction_cost_currency': 'HUF', 'transaction_supplier_name': '', 'transaction_partner_account': '', 'transaction_message': '10918001-00000072-99250002 Lamarzol Kft. Közlemény: 2022-3', 'transaction_type': 'ÁTUTALÁS'}</t>
        </is>
      </c>
    </row>
    <row r="79">
      <c r="A79" t="inlineStr">
        <is>
          <t>EXP-2022-002427</t>
        </is>
      </c>
      <c r="B79" t="inlineStr">
        <is>
          <t>2022-05</t>
        </is>
      </c>
      <c r="C79" t="inlineStr">
        <is>
          <t>2022-05-18</t>
        </is>
      </c>
      <c r="D79" t="inlineStr">
        <is>
          <t>CIB Bank</t>
        </is>
      </c>
      <c r="E79" t="inlineStr">
        <is>
          <t>Átutalás díja</t>
        </is>
      </c>
      <c r="F79" t="n">
        <v>83</v>
      </c>
      <c r="G79" t="inlineStr">
        <is>
          <t>HUF</t>
        </is>
      </c>
      <c r="H79" t="n">
        <v>1</v>
      </c>
      <c r="I79" t="n">
        <v>0</v>
      </c>
      <c r="J79">
        <f>F79*H79</f>
        <v/>
      </c>
      <c r="K79">
        <f>(F79*H79) / ( 1 + I79 / 100)</f>
        <v/>
      </c>
      <c r="L79">
        <f>J79-K79</f>
        <v/>
      </c>
      <c r="M79" t="inlineStr">
        <is>
          <t>ÁLLANDÓ KÖLTSÉG</t>
        </is>
      </c>
      <c r="N79" t="inlineStr">
        <is>
          <t>CIB BEVÉTELI SZÁMLA (511)</t>
        </is>
      </c>
      <c r="O79" t="inlineStr">
        <is>
          <t>Banki költség</t>
        </is>
      </c>
      <c r="P79" t="inlineStr">
        <is>
          <t>Nem kell iktatni</t>
        </is>
      </c>
      <c r="R79" t="inlineStr">
        <is>
          <t>AD-Bankközi átutalás GIRO-n HUF 83,25 CB3ADFKT1                 H01R</t>
        </is>
      </c>
      <c r="U79" t="inlineStr">
        <is>
          <t>DÍJ, KAMAT</t>
        </is>
      </c>
      <c r="V79" t="inlineStr">
        <is>
          <t>2022-05-18</t>
        </is>
      </c>
      <c r="W79" t="inlineStr">
        <is>
          <t>{'transaction_date': '2022.05.18', 'transaction_id': '', 'transaction_cost_amount': '-83', 'transaction_cost_currency': 'HUF', 'transaction_supplier_name': '', 'transaction_partner_account': '', 'transaction_message': 'AD-Bankközi átutalás GIRO-n HUF 83,25 CB3ADFKT1                 H01R', 'transaction_type': 'DÍJ, KAMAT'}</t>
        </is>
      </c>
    </row>
    <row r="80">
      <c r="A80" t="inlineStr">
        <is>
          <t>EXP-2022-002426</t>
        </is>
      </c>
      <c r="B80" t="inlineStr">
        <is>
          <t>2022-05</t>
        </is>
      </c>
      <c r="C80" t="inlineStr">
        <is>
          <t>2022-05-19</t>
        </is>
      </c>
      <c r="D80" t="inlineStr">
        <is>
          <t>FJ webáruház</t>
        </is>
      </c>
      <c r="E80" t="inlineStr">
        <is>
          <t>Rendelés visszatérítés</t>
        </is>
      </c>
      <c r="F80" t="n">
        <v>8715</v>
      </c>
      <c r="G80" t="inlineStr">
        <is>
          <t>HUF</t>
        </is>
      </c>
      <c r="H80" t="n">
        <v>1</v>
      </c>
      <c r="I80" t="n">
        <v>27</v>
      </c>
      <c r="J80">
        <f>F80*H80</f>
        <v/>
      </c>
      <c r="K80">
        <f>(F80*H80) / ( 1 + I80 / 100)</f>
        <v/>
      </c>
      <c r="L80">
        <f>J80-K80</f>
        <v/>
      </c>
      <c r="M80" t="inlineStr">
        <is>
          <t>EGYÉB</t>
        </is>
      </c>
      <c r="N80" t="inlineStr">
        <is>
          <t>CIB BEVÉTELI SZÁMLA (511)</t>
        </is>
      </c>
      <c r="O80" t="inlineStr">
        <is>
          <t>Visszatérítés</t>
        </is>
      </c>
      <c r="P80" t="inlineStr">
        <is>
          <t>Nem kell iktatni</t>
        </is>
      </c>
      <c r="R80" t="inlineStr">
        <is>
          <t>10700309-69966879-51100005 Szabó-Markó Zita Közlemény: visszáru E-FJ-2022-7663</t>
        </is>
      </c>
      <c r="U80" t="inlineStr">
        <is>
          <t>ÁTUTALÁS</t>
        </is>
      </c>
      <c r="V80" t="inlineStr">
        <is>
          <t>2022-05-19</t>
        </is>
      </c>
      <c r="W80" t="inlineStr">
        <is>
          <t>{'transaction_date': '2022.05.19', 'transaction_id': '', 'transaction_cost_amount': '-8715', 'transaction_cost_currency': 'HUF', 'transaction_supplier_name': '', 'transaction_partner_account': '', 'transaction_message': '10700309-69966879-51100005 Szabó-Markó Zita Közlemény: visszáru E-FJ-2022-7663', 'transaction_type': 'ÁTUTALÁS'}</t>
        </is>
      </c>
    </row>
    <row r="81">
      <c r="A81" t="inlineStr">
        <is>
          <t>EXP-2022-002425</t>
        </is>
      </c>
      <c r="B81" t="inlineStr">
        <is>
          <t>2022-05</t>
        </is>
      </c>
      <c r="C81" t="inlineStr">
        <is>
          <t>2022-05-19</t>
        </is>
      </c>
      <c r="D81" t="inlineStr">
        <is>
          <t>Gekkofix Top Trade 2000 Bt.</t>
        </is>
      </c>
      <c r="E81" t="inlineStr">
        <is>
          <t>Gekko Árubeszerzés</t>
        </is>
      </c>
      <c r="F81" t="n">
        <v>576895</v>
      </c>
      <c r="G81" t="inlineStr">
        <is>
          <t>HUF</t>
        </is>
      </c>
      <c r="H81" t="n">
        <v>1</v>
      </c>
      <c r="I81" t="n">
        <v>27</v>
      </c>
      <c r="J81">
        <f>F81*H81</f>
        <v/>
      </c>
      <c r="K81">
        <f>(F81*H81) / ( 1 + I81 / 100)</f>
        <v/>
      </c>
      <c r="L81">
        <f>J81-K81</f>
        <v/>
      </c>
      <c r="M81" t="inlineStr">
        <is>
          <t>KÉSZLET BERUHÁZÁS</t>
        </is>
      </c>
      <c r="N81" t="inlineStr">
        <is>
          <t>CIB BEVÉTELI SZÁMLA (511)</t>
        </is>
      </c>
      <c r="O81" t="inlineStr">
        <is>
          <t>Anyagköltség</t>
        </is>
      </c>
      <c r="P81" t="inlineStr">
        <is>
          <t>Iktatva</t>
        </is>
      </c>
      <c r="Q81" s="1" t="inlineStr">
        <is>
          <t>3542</t>
        </is>
      </c>
      <c r="R81" t="inlineStr">
        <is>
          <t>11711003-21432246 Gekkofix Top Trade 2000 Bt. Közlemény: VSz-2022/00254</t>
        </is>
      </c>
      <c r="U81" t="inlineStr">
        <is>
          <t>ÁTUTALÁS</t>
        </is>
      </c>
      <c r="V81" t="inlineStr">
        <is>
          <t>2022-05-19</t>
        </is>
      </c>
      <c r="W81" t="inlineStr">
        <is>
          <t>{'transaction_date': '2022.05.19', 'transaction_id': '', 'transaction_cost_amount': '-576895', 'transaction_cost_currency': 'HUF', 'transaction_supplier_name': '', 'transaction_partner_account': '', 'transaction_message': '11711003-21432246 Gekkofix Top Trade 2000 Bt. Közlemény: VSz-2022/00254', 'transaction_type': 'ÁTUTALÁS'}</t>
        </is>
      </c>
    </row>
    <row r="82">
      <c r="A82" t="inlineStr">
        <is>
          <t>EXP-2022-002424</t>
        </is>
      </c>
      <c r="B82" t="inlineStr">
        <is>
          <t>2022-05</t>
        </is>
      </c>
      <c r="C82" t="inlineStr">
        <is>
          <t>2022-05-19</t>
        </is>
      </c>
      <c r="D82" t="inlineStr">
        <is>
          <t>CIB Bank</t>
        </is>
      </c>
      <c r="E82" t="inlineStr">
        <is>
          <t>Átutalás díja</t>
        </is>
      </c>
      <c r="F82" t="n">
        <v>248</v>
      </c>
      <c r="G82" t="inlineStr">
        <is>
          <t>HUF</t>
        </is>
      </c>
      <c r="H82" t="n">
        <v>1</v>
      </c>
      <c r="I82" t="n">
        <v>0</v>
      </c>
      <c r="J82">
        <f>F82*H82</f>
        <v/>
      </c>
      <c r="K82">
        <f>(F82*H82) / ( 1 + I82 / 100)</f>
        <v/>
      </c>
      <c r="L82">
        <f>J82-K82</f>
        <v/>
      </c>
      <c r="M82" t="inlineStr">
        <is>
          <t>ÁLLANDÓ KÖLTSÉG</t>
        </is>
      </c>
      <c r="N82" t="inlineStr">
        <is>
          <t>CIB BEVÉTELI SZÁMLA (511)</t>
        </is>
      </c>
      <c r="O82" t="inlineStr">
        <is>
          <t>Banki költség</t>
        </is>
      </c>
      <c r="P82" t="inlineStr">
        <is>
          <t>Nem kell iktatni</t>
        </is>
      </c>
      <c r="R82" t="inlineStr">
        <is>
          <t>AD-Bankközi átutalás GIRO-n HUF 248,06 CB3ADFKT1                 H01N</t>
        </is>
      </c>
      <c r="U82" t="inlineStr">
        <is>
          <t>DÍJ, KAMAT</t>
        </is>
      </c>
      <c r="V82" t="inlineStr">
        <is>
          <t>2022-05-19</t>
        </is>
      </c>
      <c r="W82" t="inlineStr">
        <is>
          <t>{'transaction_date': '2022.05.19', 'transaction_id': '', 'transaction_cost_amount': '-248', 'transaction_cost_currency': 'HUF', 'transaction_supplier_name': '', 'transaction_partner_account': '', 'transaction_message': 'AD-Bankközi átutalás GIRO-n HUF 248,06 CB3ADFKT1                 H01N', 'transaction_type': 'DÍJ, KAMAT'}</t>
        </is>
      </c>
    </row>
    <row r="83">
      <c r="A83" t="inlineStr">
        <is>
          <t>EXP-2022-002423</t>
        </is>
      </c>
      <c r="B83" t="inlineStr">
        <is>
          <t>2022-05</t>
        </is>
      </c>
      <c r="C83" t="inlineStr">
        <is>
          <t>2022-05-20</t>
        </is>
      </c>
      <c r="D83" t="inlineStr">
        <is>
          <t>IJA Software Studio Bt</t>
        </is>
      </c>
      <c r="E83" t="inlineStr">
        <is>
          <t>Papír, írószer</t>
        </is>
      </c>
      <c r="F83" t="n">
        <v>8855</v>
      </c>
      <c r="G83" t="inlineStr">
        <is>
          <t>HUF</t>
        </is>
      </c>
      <c r="H83" t="n">
        <v>1</v>
      </c>
      <c r="I83" t="n">
        <v>27</v>
      </c>
      <c r="J83">
        <f>F83*H83</f>
        <v/>
      </c>
      <c r="K83">
        <f>(F83*H83) / ( 1 + I83 / 100)</f>
        <v/>
      </c>
      <c r="L83">
        <f>J83-K83</f>
        <v/>
      </c>
      <c r="M83" t="inlineStr">
        <is>
          <t>ÁLLANDÓ KÖLTSÉG</t>
        </is>
      </c>
      <c r="N83" t="inlineStr">
        <is>
          <t>CIB BEVÉTELI SZÁMLA (511)</t>
        </is>
      </c>
      <c r="O83" t="inlineStr">
        <is>
          <t>Anyagköltség</t>
        </is>
      </c>
      <c r="P83" t="inlineStr">
        <is>
          <t>Iktatva</t>
        </is>
      </c>
      <c r="Q83" s="1" t="inlineStr">
        <is>
          <t>3871</t>
        </is>
      </c>
      <c r="R83" t="inlineStr">
        <is>
          <t>55400194-11009405 IJA Software Studio Bt. Közlemény: IJA-2022-1363</t>
        </is>
      </c>
      <c r="U83" t="inlineStr">
        <is>
          <t>ÁTUTALÁS</t>
        </is>
      </c>
      <c r="V83" t="inlineStr">
        <is>
          <t>2022-05-20</t>
        </is>
      </c>
      <c r="W83" t="inlineStr">
        <is>
          <t>{'transaction_date': '2022.05.20', 'transaction_id': '', 'transaction_cost_amount': '-8855', 'transaction_cost_currency': 'HUF', 'transaction_supplier_name': '', 'transaction_partner_account': '', 'transaction_message': '55400194-11009405 IJA Software Studio Bt. Közlemény: IJA-2022-1363', 'transaction_type': 'ÁTUTALÁS'}</t>
        </is>
      </c>
    </row>
    <row r="84">
      <c r="A84" t="inlineStr">
        <is>
          <t>EXP-2022-002422</t>
        </is>
      </c>
      <c r="B84" t="inlineStr">
        <is>
          <t>2022-05</t>
        </is>
      </c>
      <c r="C84" t="inlineStr">
        <is>
          <t>2022-05-20</t>
        </is>
      </c>
      <c r="D84" t="inlineStr">
        <is>
          <t>NAV (Nemzeti Adó- és Vámhivatal)</t>
        </is>
      </c>
      <c r="E84" t="inlineStr">
        <is>
          <t>ÁFA</t>
        </is>
      </c>
      <c r="F84" t="n">
        <v>4366000</v>
      </c>
      <c r="G84" t="inlineStr">
        <is>
          <t>HUF</t>
        </is>
      </c>
      <c r="H84" t="n">
        <v>1</v>
      </c>
      <c r="I84" t="n">
        <v>0</v>
      </c>
      <c r="J84">
        <f>F84*H84</f>
        <v/>
      </c>
      <c r="K84">
        <f>(F84*H84) / ( 1 + I84 / 100)</f>
        <v/>
      </c>
      <c r="L84">
        <f>J84-K84</f>
        <v/>
      </c>
      <c r="M84" t="inlineStr">
        <is>
          <t>ÁFA</t>
        </is>
      </c>
      <c r="N84" t="inlineStr">
        <is>
          <t>CIB BEVÉTELI SZÁMLA (511)</t>
        </is>
      </c>
      <c r="O84" t="inlineStr">
        <is>
          <t>Általános forgalmi adó (ÁFA)</t>
        </is>
      </c>
      <c r="P84" t="inlineStr">
        <is>
          <t>Nem kell iktatni</t>
        </is>
      </c>
      <c r="R84" t="inlineStr">
        <is>
          <t>10032000-01076868 Nav áfa bevételi számla Közlemény: 24972370-2-42</t>
        </is>
      </c>
      <c r="U84" t="inlineStr">
        <is>
          <t>ÁTUTALÁS</t>
        </is>
      </c>
      <c r="V84" t="inlineStr">
        <is>
          <t>2022-05-20</t>
        </is>
      </c>
      <c r="W84" t="inlineStr">
        <is>
          <t>{'transaction_date': '2022.05.20', 'transaction_id': '', 'transaction_cost_amount': '-4366000', 'transaction_cost_currency': 'HUF', 'transaction_supplier_name': '', 'transaction_partner_account': '', 'transaction_message': '10032000-01076868 Nav áfa bevételi számla Közlemény: 24972370-2-42', 'transaction_type': 'ÁTUTALÁS'}</t>
        </is>
      </c>
    </row>
    <row r="85">
      <c r="A85" t="inlineStr">
        <is>
          <t>EXP-2022-002421</t>
        </is>
      </c>
      <c r="B85" t="inlineStr">
        <is>
          <t>2022-05</t>
        </is>
      </c>
      <c r="C85" t="inlineStr">
        <is>
          <t>2022-05-20</t>
        </is>
      </c>
      <c r="D85" t="inlineStr">
        <is>
          <t>Todorovits Rea</t>
        </is>
      </c>
      <c r="E85" t="inlineStr">
        <is>
          <t>Kommunikáció, webáruház szöveg</t>
        </is>
      </c>
      <c r="F85" t="n">
        <v>25000</v>
      </c>
      <c r="G85" t="inlineStr">
        <is>
          <t>HUF</t>
        </is>
      </c>
      <c r="H85" t="n">
        <v>1</v>
      </c>
      <c r="I85" t="n">
        <v>27</v>
      </c>
      <c r="J85">
        <f>F85*H85</f>
        <v/>
      </c>
      <c r="K85">
        <f>(F85*H85) / ( 1 + I85 / 100)</f>
        <v/>
      </c>
      <c r="L85">
        <f>J85-K85</f>
        <v/>
      </c>
      <c r="M85" t="inlineStr">
        <is>
          <t>ÁLLANDÓ KÖLTSÉG</t>
        </is>
      </c>
      <c r="N85" t="inlineStr">
        <is>
          <t>CIB BEVÉTELI SZÁMLA (511)</t>
        </is>
      </c>
      <c r="O85" t="inlineStr">
        <is>
          <t>Egyéb szolgáltatás</t>
        </is>
      </c>
      <c r="P85" t="inlineStr">
        <is>
          <t>Iktatva</t>
        </is>
      </c>
      <c r="Q85" s="1" t="inlineStr">
        <is>
          <t>3904</t>
        </is>
      </c>
      <c r="R85" t="inlineStr">
        <is>
          <t>12600016-18685955-09142168 TODOROVITS REA Közlemény: 2021-2021-177</t>
        </is>
      </c>
      <c r="U85" t="inlineStr">
        <is>
          <t>ÁTUTALÁS</t>
        </is>
      </c>
      <c r="V85" t="inlineStr">
        <is>
          <t>2022-05-20</t>
        </is>
      </c>
      <c r="W85" t="inlineStr">
        <is>
          <t>{'transaction_date': '2022.05.20', 'transaction_id': '', 'transaction_cost_amount': '-25000', 'transaction_cost_currency': 'HUF', 'transaction_supplier_name': '', 'transaction_partner_account': '', 'transaction_message': '12600016-18685955-09142168 TODOROVITS REA Közlemény: 2021-2021-177', 'transaction_type': 'ÁTUTALÁS'}</t>
        </is>
      </c>
    </row>
    <row r="86">
      <c r="A86" t="inlineStr">
        <is>
          <t>EXP-2022-002420</t>
        </is>
      </c>
      <c r="B86" t="inlineStr">
        <is>
          <t>2022-05</t>
        </is>
      </c>
      <c r="C86" t="inlineStr">
        <is>
          <t>2022-05-20</t>
        </is>
      </c>
      <c r="D86" t="inlineStr">
        <is>
          <t>CIB Bank</t>
        </is>
      </c>
      <c r="E86" t="inlineStr">
        <is>
          <t>Átutalás díja</t>
        </is>
      </c>
      <c r="F86" t="n">
        <v>83</v>
      </c>
      <c r="G86" t="inlineStr">
        <is>
          <t>HUF</t>
        </is>
      </c>
      <c r="H86" t="n">
        <v>1</v>
      </c>
      <c r="I86" t="n">
        <v>0</v>
      </c>
      <c r="J86">
        <f>F86*H86</f>
        <v/>
      </c>
      <c r="K86">
        <f>(F86*H86) / ( 1 + I86 / 100)</f>
        <v/>
      </c>
      <c r="L86">
        <f>J86-K86</f>
        <v/>
      </c>
      <c r="M86" t="inlineStr">
        <is>
          <t>ÁLLANDÓ KÖLTSÉG</t>
        </is>
      </c>
      <c r="N86" t="inlineStr">
        <is>
          <t>CIB BEVÉTELI SZÁMLA (511)</t>
        </is>
      </c>
      <c r="O86" t="inlineStr">
        <is>
          <t>Banki költség</t>
        </is>
      </c>
      <c r="P86" t="inlineStr">
        <is>
          <t>Nem kell iktatni</t>
        </is>
      </c>
      <c r="R86" t="inlineStr">
        <is>
          <t>AD-Bankközi átutalás GIRO-n HUF 83,25 CB3ADFKT1                 H04j</t>
        </is>
      </c>
      <c r="U86" t="inlineStr">
        <is>
          <t>DÍJ, KAMAT</t>
        </is>
      </c>
      <c r="V86" t="inlineStr">
        <is>
          <t>2022-05-20</t>
        </is>
      </c>
      <c r="W86" t="inlineStr">
        <is>
          <t>{'transaction_date': '2022.05.20', 'transaction_id': '', 'transaction_cost_amount': '-83', 'transaction_cost_currency': 'HUF', 'transaction_supplier_name': '', 'transaction_partner_account': '', 'transaction_message': 'AD-Bankközi átutalás GIRO-n HUF 83,25 CB3ADFKT1                 H04j', 'transaction_type': 'DÍJ, KAMAT'}</t>
        </is>
      </c>
    </row>
    <row r="87">
      <c r="A87" t="inlineStr">
        <is>
          <t>EXP-2022-002419</t>
        </is>
      </c>
      <c r="B87" t="inlineStr">
        <is>
          <t>2022-05</t>
        </is>
      </c>
      <c r="C87" t="inlineStr">
        <is>
          <t>2022-05-20</t>
        </is>
      </c>
      <c r="D87" t="inlineStr">
        <is>
          <t>CIB Bank</t>
        </is>
      </c>
      <c r="E87" t="inlineStr">
        <is>
          <t>Átutalás díja</t>
        </is>
      </c>
      <c r="F87" t="n">
        <v>83</v>
      </c>
      <c r="G87" t="inlineStr">
        <is>
          <t>HUF</t>
        </is>
      </c>
      <c r="H87" t="n">
        <v>1</v>
      </c>
      <c r="I87" t="n">
        <v>0</v>
      </c>
      <c r="J87">
        <f>F87*H87</f>
        <v/>
      </c>
      <c r="K87">
        <f>(F87*H87) / ( 1 + I87 / 100)</f>
        <v/>
      </c>
      <c r="L87">
        <f>J87-K87</f>
        <v/>
      </c>
      <c r="M87" t="inlineStr">
        <is>
          <t>ÁLLANDÓ KÖLTSÉG</t>
        </is>
      </c>
      <c r="N87" t="inlineStr">
        <is>
          <t>CIB BEVÉTELI SZÁMLA (511)</t>
        </is>
      </c>
      <c r="O87" t="inlineStr">
        <is>
          <t>Banki költség</t>
        </is>
      </c>
      <c r="P87" t="inlineStr">
        <is>
          <t>Nem kell iktatni</t>
        </is>
      </c>
      <c r="R87" t="inlineStr">
        <is>
          <t>AD-Bankközi átutalás GIRO-n HUF 83,25 CB3ADFKT1                 H04l</t>
        </is>
      </c>
      <c r="U87" t="inlineStr">
        <is>
          <t>DÍJ, KAMAT</t>
        </is>
      </c>
      <c r="V87" t="inlineStr">
        <is>
          <t>2022-05-20</t>
        </is>
      </c>
      <c r="W87" t="inlineStr">
        <is>
          <t>{'transaction_date': '2022.05.20', 'transaction_id': '', 'transaction_cost_amount': '-83', 'transaction_cost_currency': 'HUF', 'transaction_supplier_name': '', 'transaction_partner_account': '', 'transaction_message': 'AD-Bankközi átutalás GIRO-n HUF 83,25 CB3ADFKT1                 H04l', 'transaction_type': 'DÍJ, KAMAT'}</t>
        </is>
      </c>
    </row>
    <row r="88">
      <c r="A88" t="inlineStr">
        <is>
          <t>EXP-2022-002418</t>
        </is>
      </c>
      <c r="B88" t="inlineStr">
        <is>
          <t>2022-05</t>
        </is>
      </c>
      <c r="C88" t="inlineStr">
        <is>
          <t>2022-05-21</t>
        </is>
      </c>
      <c r="D88" t="inlineStr">
        <is>
          <t>FJ webáruház</t>
        </is>
      </c>
      <c r="E88" t="inlineStr">
        <is>
          <t>Rendelés visszatérítés</t>
        </is>
      </c>
      <c r="F88" t="n">
        <v>900</v>
      </c>
      <c r="G88" t="inlineStr">
        <is>
          <t>HUF</t>
        </is>
      </c>
      <c r="H88" t="n">
        <v>1</v>
      </c>
      <c r="I88" t="n">
        <v>27</v>
      </c>
      <c r="J88">
        <f>F88*H88</f>
        <v/>
      </c>
      <c r="K88">
        <f>(F88*H88) / ( 1 + I88 / 100)</f>
        <v/>
      </c>
      <c r="L88">
        <f>J88-K88</f>
        <v/>
      </c>
      <c r="M88" t="inlineStr">
        <is>
          <t>EGYÉB</t>
        </is>
      </c>
      <c r="N88" t="inlineStr">
        <is>
          <t>CIB BEVÉTELI SZÁMLA (511)</t>
        </is>
      </c>
      <c r="O88" t="inlineStr">
        <is>
          <t>Visszatérítés</t>
        </is>
      </c>
      <c r="P88" t="inlineStr">
        <is>
          <t>Nem kell iktatni</t>
        </is>
      </c>
      <c r="R88" t="inlineStr">
        <is>
          <t>11773315-00703538-00000000 Németh Gergely Közlemény: téves termékvásárlás ORD-2022-009192</t>
        </is>
      </c>
      <c r="U88" t="inlineStr">
        <is>
          <t>EGYÉB TERHELÉS</t>
        </is>
      </c>
      <c r="V88" t="inlineStr">
        <is>
          <t>2022-05-21</t>
        </is>
      </c>
      <c r="W88" t="inlineStr">
        <is>
          <t>{'transaction_date': '2022.05.21', 'transaction_id': '', 'transaction_cost_amount': '-900', 'transaction_cost_currency': 'HUF', 'transaction_supplier_name': '', 'transaction_partner_account': '', 'transaction_message': '11773315-00703538-00000000 Németh Gergely Közlemény: téves termékvásárlás ORD-2022-009192', 'transaction_type': 'EGYÉB TERHELÉS'}</t>
        </is>
      </c>
    </row>
    <row r="89">
      <c r="A89" t="inlineStr">
        <is>
          <t>EXP-2022-002417</t>
        </is>
      </c>
      <c r="B89" t="inlineStr">
        <is>
          <t>2022-05</t>
        </is>
      </c>
      <c r="C89" t="inlineStr">
        <is>
          <t>2022-05-21</t>
        </is>
      </c>
      <c r="D89" t="inlineStr">
        <is>
          <t>CIB Bank</t>
        </is>
      </c>
      <c r="E89" t="inlineStr">
        <is>
          <t>Átutalás díja</t>
        </is>
      </c>
      <c r="F89" t="n">
        <v>83</v>
      </c>
      <c r="G89" t="inlineStr">
        <is>
          <t>HUF</t>
        </is>
      </c>
      <c r="H89" t="n">
        <v>1</v>
      </c>
      <c r="I89" t="n">
        <v>0</v>
      </c>
      <c r="J89">
        <f>F89*H89</f>
        <v/>
      </c>
      <c r="K89">
        <f>(F89*H89) / ( 1 + I89 / 100)</f>
        <v/>
      </c>
      <c r="L89">
        <f>J89-K89</f>
        <v/>
      </c>
      <c r="M89" t="inlineStr">
        <is>
          <t>ÁLLANDÓ KÖLTSÉG</t>
        </is>
      </c>
      <c r="N89" t="inlineStr">
        <is>
          <t>CIB BEVÉTELI SZÁMLA (511)</t>
        </is>
      </c>
      <c r="O89" t="inlineStr">
        <is>
          <t>Banki költség</t>
        </is>
      </c>
      <c r="P89" t="inlineStr">
        <is>
          <t>Nem kell iktatni</t>
        </is>
      </c>
      <c r="R89" t="inlineStr">
        <is>
          <t>AD-Bankközi átutalás GIRO-n HUF 83,25 CB3ADFKT1                 H0JT</t>
        </is>
      </c>
      <c r="U89" t="inlineStr">
        <is>
          <t>DÍJ, KAMAT</t>
        </is>
      </c>
      <c r="V89" t="inlineStr">
        <is>
          <t>2022-05-21</t>
        </is>
      </c>
      <c r="W89" t="inlineStr">
        <is>
          <t>{'transaction_date': '2022.05.21', 'transaction_id': '', 'transaction_cost_amount': '-83', 'transaction_cost_currency': 'HUF', 'transaction_supplier_name': '', 'transaction_partner_account': '', 'transaction_message': 'AD-Bankközi átutalás GIRO-n HUF 83,25 CB3ADFKT1                 H0JT', 'transaction_type': 'DÍJ, KAMAT'}</t>
        </is>
      </c>
    </row>
    <row r="90">
      <c r="A90" t="inlineStr">
        <is>
          <t>EXP-2022-002416</t>
        </is>
      </c>
      <c r="B90" t="inlineStr">
        <is>
          <t>2022-05</t>
        </is>
      </c>
      <c r="C90" t="inlineStr">
        <is>
          <t>2022-05-16</t>
        </is>
      </c>
      <c r="D90" t="inlineStr">
        <is>
          <t>KIK textil és Non-food Kft.</t>
        </is>
      </c>
      <c r="E90" t="inlineStr">
        <is>
          <t>Kreatív eszközök</t>
        </is>
      </c>
      <c r="F90" t="n">
        <v>4600</v>
      </c>
      <c r="G90" t="inlineStr">
        <is>
          <t>HUF</t>
        </is>
      </c>
      <c r="H90" t="n">
        <v>1</v>
      </c>
      <c r="I90" t="n">
        <v>27</v>
      </c>
      <c r="J90">
        <f>F90*H90</f>
        <v/>
      </c>
      <c r="K90">
        <f>(F90*H90) / ( 1 + I90 / 100)</f>
        <v/>
      </c>
      <c r="L90">
        <f>J90-K90</f>
        <v/>
      </c>
      <c r="M90" t="inlineStr">
        <is>
          <t>ÁLLANDÓ KÖLTSÉG</t>
        </is>
      </c>
      <c r="N90" t="inlineStr">
        <is>
          <t>CIB MŰKÖDÉSI KÖLTSÉGEK (517)</t>
        </is>
      </c>
      <c r="O90" t="inlineStr">
        <is>
          <t>Marketing költség</t>
        </is>
      </c>
      <c r="P90" t="inlineStr">
        <is>
          <t>Iktatva</t>
        </is>
      </c>
      <c r="Q90" s="1" t="inlineStr">
        <is>
          <t>4339</t>
        </is>
      </c>
      <c r="R90" t="inlineStr">
        <is>
          <t>4796 **** **** 8958 20220514 132602 4600.00 HUF 5691 262582HU  GODOLLO KIK 5469           00079363 0795450</t>
        </is>
      </c>
      <c r="U90" t="inlineStr">
        <is>
          <t>KÁRTYATRANZAKCIÓ</t>
        </is>
      </c>
      <c r="V90" t="inlineStr">
        <is>
          <t>2022-05-16</t>
        </is>
      </c>
      <c r="W90" t="inlineStr">
        <is>
          <t>{'transaction_date': '2022.05.16', 'transaction_id': '', 'transaction_cost_amount': '-4600', 'transaction_cost_currency': 'HUF', 'transaction_supplier_name': '', 'transaction_partner_account': '', 'transaction_message': '4796 **** **** 8958 20220514 132602 4600.00 HUF 5691 262582HU  GODOLLO KIK 5469           00079363 0795450', 'transaction_type': 'KÁRTYATRANZAKCIÓ'}</t>
        </is>
      </c>
    </row>
    <row r="91">
      <c r="A91" t="inlineStr">
        <is>
          <t>EXP-2022-002412</t>
        </is>
      </c>
      <c r="B91" t="inlineStr">
        <is>
          <t>2022-05</t>
        </is>
      </c>
      <c r="C91" t="inlineStr">
        <is>
          <t>2022-05-17</t>
        </is>
      </c>
      <c r="D91" t="inlineStr">
        <is>
          <t>Facebook</t>
        </is>
      </c>
      <c r="E91" t="inlineStr">
        <is>
          <t>Fizetett hirdetés</t>
        </is>
      </c>
      <c r="F91" t="n">
        <v>250000</v>
      </c>
      <c r="G91" t="inlineStr">
        <is>
          <t>HUF</t>
        </is>
      </c>
      <c r="H91" t="n">
        <v>1</v>
      </c>
      <c r="I91" t="n">
        <v>0</v>
      </c>
      <c r="J91">
        <f>F91*H91</f>
        <v/>
      </c>
      <c r="K91">
        <f>(F91*H91) / ( 1 + I91 / 100)</f>
        <v/>
      </c>
      <c r="L91">
        <f>J91-K91</f>
        <v/>
      </c>
      <c r="M91" t="inlineStr">
        <is>
          <t>ÁLLANDÓ KÖLTSÉG</t>
        </is>
      </c>
      <c r="N91" t="inlineStr">
        <is>
          <t>CIB MŰKÖDÉSI KÖLTSÉGEK (517)</t>
        </is>
      </c>
      <c r="O91" t="inlineStr">
        <is>
          <t>Hirdetési költség</t>
        </is>
      </c>
      <c r="P91" t="inlineStr">
        <is>
          <t>Iktatni</t>
        </is>
      </c>
      <c r="R91" t="inlineStr">
        <is>
          <t>4796 **** **** 6359 20220515 112542 250000.00 HUF    250000.00 HUF 7311 431768IE  fb.me/ads FACEBK  UBH8VCT6B2          1166078</t>
        </is>
      </c>
      <c r="U91" t="inlineStr">
        <is>
          <t>KÁRTYATRANZAKCIÓ</t>
        </is>
      </c>
      <c r="V91" t="inlineStr">
        <is>
          <t>2022-05-17</t>
        </is>
      </c>
      <c r="W91" t="inlineStr">
        <is>
          <t>{'transaction_date': '2022.05.17', 'transaction_id': '', 'transaction_cost_amount': '-250000', 'transaction_cost_currency': 'HUF', 'transaction_supplier_name': '', 'transaction_partner_account': '', 'transaction_message': '4796 **** **** 6359 20220515 112542 250000.00 HUF    250000.00 HUF 7311 431768IE  fb.me/ads FACEBK  UBH8VCT6B2          1166078', 'transaction_type': 'KÁRTYATRANZAKCIÓ'}</t>
        </is>
      </c>
    </row>
    <row r="92">
      <c r="A92" t="inlineStr">
        <is>
          <t>EXP-2022-002411</t>
        </is>
      </c>
      <c r="B92" t="inlineStr">
        <is>
          <t>2022-05</t>
        </is>
      </c>
      <c r="C92" t="inlineStr">
        <is>
          <t>2022-05-18</t>
        </is>
      </c>
      <c r="F92" t="n">
        <v>12858</v>
      </c>
      <c r="G92" t="inlineStr">
        <is>
          <t>HUF</t>
        </is>
      </c>
      <c r="H92" t="n">
        <v>1</v>
      </c>
      <c r="I92" t="n">
        <v>27</v>
      </c>
      <c r="J92">
        <f>F92*H92</f>
        <v/>
      </c>
      <c r="K92">
        <f>(F92*H92) / ( 1 + I92 / 100)</f>
        <v/>
      </c>
      <c r="L92">
        <f>J92-K92</f>
        <v/>
      </c>
      <c r="N92" t="inlineStr">
        <is>
          <t>CIB MŰKÖDÉSI KÖLTSÉGEK (517)</t>
        </is>
      </c>
      <c r="P92" t="inlineStr">
        <is>
          <t>Ismeretlen</t>
        </is>
      </c>
      <c r="R92" t="inlineStr">
        <is>
          <t>4796 **** **** 8958 20220516 210933 32.60 EUR        32.60 EUR 394.43 7011 792779NL  Amsterdam Hotel at Booking.c          4985775</t>
        </is>
      </c>
      <c r="U92" t="inlineStr">
        <is>
          <t>KÁRTYATRANZAKCIÓ</t>
        </is>
      </c>
      <c r="V92" t="inlineStr">
        <is>
          <t>2022-05-18</t>
        </is>
      </c>
      <c r="W92" t="inlineStr">
        <is>
          <t>{'transaction_date': '2022.05.18', 'transaction_id': '', 'transaction_cost_amount': '-12858', 'transaction_cost_currency': 'HUF', 'transaction_supplier_name': '', 'transaction_partner_account': '', 'transaction_message': '4796 **** **** 8958 20220516 210933 32.60 EUR        32.60 EUR 394.43 7011 792779NL  Amsterdam Hotel at Booking.c          4985775', 'transaction_type': 'KÁRTYATRANZAKCIÓ'}</t>
        </is>
      </c>
    </row>
    <row r="93">
      <c r="A93" t="inlineStr">
        <is>
          <t>EXP-2022-002403</t>
        </is>
      </c>
      <c r="B93" t="inlineStr">
        <is>
          <t>2022-05</t>
        </is>
      </c>
      <c r="C93" t="inlineStr">
        <is>
          <t>2022-05-12</t>
        </is>
      </c>
      <c r="D93" t="inlineStr">
        <is>
          <t>CLICKUP</t>
        </is>
      </c>
      <c r="E93" t="inlineStr">
        <is>
          <t>CLICKUP</t>
        </is>
      </c>
      <c r="F93" t="n">
        <v>13201</v>
      </c>
      <c r="G93" t="inlineStr">
        <is>
          <t>HUF</t>
        </is>
      </c>
      <c r="H93" t="n">
        <v>1</v>
      </c>
      <c r="I93" t="n">
        <v>0</v>
      </c>
      <c r="J93">
        <f>F93*H93</f>
        <v/>
      </c>
      <c r="K93">
        <f>(F93*H93) / ( 1 + I93 / 100)</f>
        <v/>
      </c>
      <c r="L93">
        <f>J93-K93</f>
        <v/>
      </c>
      <c r="M93" t="inlineStr">
        <is>
          <t>ÁLLANDÓ KÖLTSÉG</t>
        </is>
      </c>
      <c r="N93" t="inlineStr">
        <is>
          <t>CIB MŰKÖDÉSI KÖLTSÉGEK (517)</t>
        </is>
      </c>
      <c r="O93" t="inlineStr">
        <is>
          <t>Szoftver költség</t>
        </is>
      </c>
      <c r="P93" t="inlineStr">
        <is>
          <t>Iktatni</t>
        </is>
      </c>
      <c r="R93" t="inlineStr">
        <is>
          <t>4796 **** **** 6359 20220510 083146 36.00 USD        36.00 USD 366.69 5045 045533US  8886254258 CLICKUP                     1333501</t>
        </is>
      </c>
      <c r="U93" t="inlineStr">
        <is>
          <t>KÁRTYATRANZAKCIÓ</t>
        </is>
      </c>
      <c r="V93" t="inlineStr">
        <is>
          <t>2022-05-12</t>
        </is>
      </c>
      <c r="W93" t="inlineStr">
        <is>
          <t>{'transaction_date': '2022.05.12', 'transaction_id': '', 'transaction_cost_amount': '-13201', 'transaction_cost_currency': 'HUF', 'transaction_supplier_name': '', 'transaction_partner_account': '', 'transaction_message': '4796 **** **** 6359 20220510 083146 36.00 USD        36.00 USD 366.69 5045 045533US  8886254258 CLICKUP                     1333501', 'transaction_type': 'KÁRTYATRANZAKCIÓ'}</t>
        </is>
      </c>
    </row>
    <row r="94">
      <c r="A94" t="inlineStr">
        <is>
          <t>EXP-2022-002402</t>
        </is>
      </c>
      <c r="B94" t="inlineStr">
        <is>
          <t>2022-05</t>
        </is>
      </c>
      <c r="C94" t="inlineStr">
        <is>
          <t>2022-05-13</t>
        </is>
      </c>
      <c r="D94" t="inlineStr">
        <is>
          <t>Marton Tamás E.V.</t>
        </is>
      </c>
      <c r="E94" t="inlineStr">
        <is>
          <t>Villamossági eszköz</t>
        </is>
      </c>
      <c r="F94" t="n">
        <v>8240</v>
      </c>
      <c r="G94" t="inlineStr">
        <is>
          <t>HUF</t>
        </is>
      </c>
      <c r="H94" t="n">
        <v>1</v>
      </c>
      <c r="I94" t="n">
        <v>27</v>
      </c>
      <c r="J94">
        <f>F94*H94</f>
        <v/>
      </c>
      <c r="K94">
        <f>(F94*H94) / ( 1 + I94 / 100)</f>
        <v/>
      </c>
      <c r="L94">
        <f>J94-K94</f>
        <v/>
      </c>
      <c r="M94" t="inlineStr">
        <is>
          <t>KÉSZLET BERUHÁZÁS</t>
        </is>
      </c>
      <c r="N94" t="inlineStr">
        <is>
          <t>CIB MŰKÖDÉSI KÖLTSÉGEK (517)</t>
        </is>
      </c>
      <c r="O94" t="inlineStr">
        <is>
          <t>Anyagköltség</t>
        </is>
      </c>
      <c r="P94" t="inlineStr">
        <is>
          <t>Iktatva</t>
        </is>
      </c>
      <c r="Q94" s="1" t="inlineStr">
        <is>
          <t>4432</t>
        </is>
      </c>
      <c r="R94" t="inlineStr">
        <is>
          <t>4796 **** **** 6359 20220511 145519 8240.00 HUF 5722 443343HU  ASZOD MARTON TAMAS       PB812381 0010960</t>
        </is>
      </c>
      <c r="U94" t="inlineStr">
        <is>
          <t>KÁRTYATRANZAKCIÓ</t>
        </is>
      </c>
      <c r="V94" t="inlineStr">
        <is>
          <t>2022-05-13</t>
        </is>
      </c>
      <c r="W94" t="inlineStr">
        <is>
          <t>{'transaction_date': '2022.05.13', 'transaction_id': '', 'transaction_cost_amount': '-8240', 'transaction_cost_currency': 'HUF', 'transaction_supplier_name': '', 'transaction_partner_account': '', 'transaction_message': '4796 **** **** 6359 20220511 145519 8240.00 HUF 5722 443343HU  ASZOD MARTON TAMAS       PB812381 0010960', 'transaction_type': 'KÁRTYATRANZAKCIÓ'}</t>
        </is>
      </c>
    </row>
    <row r="95">
      <c r="A95" t="inlineStr">
        <is>
          <t>EXP-2022-002401</t>
        </is>
      </c>
      <c r="B95" t="inlineStr">
        <is>
          <t>2022-05</t>
        </is>
      </c>
      <c r="C95" t="inlineStr">
        <is>
          <t>2022-05-16</t>
        </is>
      </c>
      <c r="D95" t="inlineStr">
        <is>
          <t>IJA Software Studio Bt</t>
        </is>
      </c>
      <c r="E95" t="inlineStr">
        <is>
          <t>Papír, írószer</t>
        </is>
      </c>
      <c r="F95" t="n">
        <v>7770</v>
      </c>
      <c r="G95" t="inlineStr">
        <is>
          <t>HUF</t>
        </is>
      </c>
      <c r="H95" t="n">
        <v>1</v>
      </c>
      <c r="I95" t="n">
        <v>27</v>
      </c>
      <c r="J95">
        <f>F95*H95</f>
        <v/>
      </c>
      <c r="K95">
        <f>(F95*H95) / ( 1 + I95 / 100)</f>
        <v/>
      </c>
      <c r="L95">
        <f>J95-K95</f>
        <v/>
      </c>
      <c r="M95" t="inlineStr">
        <is>
          <t>ÁLLANDÓ KÖLTSÉG</t>
        </is>
      </c>
      <c r="N95" t="inlineStr">
        <is>
          <t>CIB MŰKÖDÉSI KÖLTSÉGEK (517)</t>
        </is>
      </c>
      <c r="O95" t="inlineStr">
        <is>
          <t>Anyagköltség</t>
        </is>
      </c>
      <c r="P95" t="inlineStr">
        <is>
          <t>Iktatva</t>
        </is>
      </c>
      <c r="Q95" s="1" t="inlineStr">
        <is>
          <t>3739</t>
        </is>
      </c>
      <c r="R95" t="inlineStr">
        <is>
          <t>4796 **** **** 8958 20220512 170241 7770.00 HUF 5111 772698HU  BAG IJa Sofware Studio BP3H4386 3240490</t>
        </is>
      </c>
      <c r="U95" t="inlineStr">
        <is>
          <t>KÁRTYATRANZAKCIÓ</t>
        </is>
      </c>
      <c r="V95" t="inlineStr">
        <is>
          <t>2022-05-16</t>
        </is>
      </c>
      <c r="W95" t="inlineStr">
        <is>
          <t>{'transaction_date': '2022.05.16', 'transaction_id': '', 'transaction_cost_amount': '-7770', 'transaction_cost_currency': 'HUF', 'transaction_supplier_name': '', 'transaction_partner_account': '', 'transaction_message': '4796 **** **** 8958 20220512 170241 7770.00 HUF 5111 772698HU  BAG IJa Sofware Studio BP3H4386 3240490', 'transaction_type': 'KÁRTYATRANZAKCIÓ'}</t>
        </is>
      </c>
    </row>
    <row r="96">
      <c r="A96" t="inlineStr">
        <is>
          <t>EXP-2022-002400</t>
        </is>
      </c>
      <c r="B96" t="inlineStr">
        <is>
          <t>2022-05</t>
        </is>
      </c>
      <c r="C96" t="inlineStr">
        <is>
          <t>2022-05-16</t>
        </is>
      </c>
      <c r="D96" t="inlineStr">
        <is>
          <t>Hobbibázis Kft.</t>
        </is>
      </c>
      <c r="E96" t="inlineStr">
        <is>
          <t>Kreatív kellék</t>
        </is>
      </c>
      <c r="F96" t="n">
        <v>3080</v>
      </c>
      <c r="G96" t="inlineStr">
        <is>
          <t>HUF</t>
        </is>
      </c>
      <c r="H96" t="n">
        <v>1</v>
      </c>
      <c r="I96" t="n">
        <v>27</v>
      </c>
      <c r="J96">
        <f>F96*H96</f>
        <v/>
      </c>
      <c r="K96">
        <f>(F96*H96) / ( 1 + I96 / 100)</f>
        <v/>
      </c>
      <c r="L96">
        <f>J96-K96</f>
        <v/>
      </c>
      <c r="M96" t="inlineStr">
        <is>
          <t>EGYÉB</t>
        </is>
      </c>
      <c r="N96" t="inlineStr">
        <is>
          <t>CIB MŰKÖDÉSI KÖLTSÉGEK (517)</t>
        </is>
      </c>
      <c r="O96" t="inlineStr">
        <is>
          <t>Magánfelhasználás</t>
        </is>
      </c>
      <c r="P96" t="inlineStr">
        <is>
          <t>Iktatva</t>
        </is>
      </c>
      <c r="Q96" s="1" t="inlineStr">
        <is>
          <t>4337</t>
        </is>
      </c>
      <c r="R96" t="inlineStr">
        <is>
          <t>4796 **** **** 8958 20220512 142819 3080.00 HUF 5970 718695HU  Vac Hobbibazis Kft.    HB246708 6684380</t>
        </is>
      </c>
      <c r="U96" t="inlineStr">
        <is>
          <t>KÁRTYATRANZAKCIÓ</t>
        </is>
      </c>
      <c r="V96" t="inlineStr">
        <is>
          <t>2022-05-16</t>
        </is>
      </c>
      <c r="W96" t="inlineStr">
        <is>
          <t>{'transaction_date': '2022.05.16', 'transaction_id': '', 'transaction_cost_amount': '-3080', 'transaction_cost_currency': 'HUF', 'transaction_supplier_name': '', 'transaction_partner_account': '', 'transaction_message': '4796 **** **** 8958 20220512 142819 3080.00 HUF 5970 718695HU  Vac Hobbibazis Kft.    HB246708 6684380', 'transaction_type': 'KÁRTYATRANZAKCIÓ'}</t>
        </is>
      </c>
    </row>
    <row r="97">
      <c r="A97" t="inlineStr">
        <is>
          <t>EXP-2022-002399</t>
        </is>
      </c>
      <c r="B97" t="inlineStr">
        <is>
          <t>2022-05</t>
        </is>
      </c>
      <c r="C97" t="inlineStr">
        <is>
          <t>2022-05-16</t>
        </is>
      </c>
      <c r="D97" t="inlineStr">
        <is>
          <t>Üzemanyag töltőállomások</t>
        </is>
      </c>
      <c r="E97" t="inlineStr">
        <is>
          <t>Üzemanyag</t>
        </is>
      </c>
      <c r="F97" t="n">
        <v>17368</v>
      </c>
      <c r="G97" t="inlineStr">
        <is>
          <t>HUF</t>
        </is>
      </c>
      <c r="H97" t="n">
        <v>1</v>
      </c>
      <c r="I97" t="n">
        <v>27</v>
      </c>
      <c r="J97">
        <f>F97*H97</f>
        <v/>
      </c>
      <c r="K97">
        <f>(F97*H97) / ( 1 + I97 / 100)</f>
        <v/>
      </c>
      <c r="L97">
        <f>J97-K97</f>
        <v/>
      </c>
      <c r="M97" t="inlineStr">
        <is>
          <t>ÁLLANDÓ KÖLTSÉG</t>
        </is>
      </c>
      <c r="N97" t="inlineStr">
        <is>
          <t>CIB MŰKÖDÉSI KÖLTSÉGEK (517)</t>
        </is>
      </c>
      <c r="O97" t="inlineStr">
        <is>
          <t>Gépjármű üzemeltetés</t>
        </is>
      </c>
      <c r="P97" t="inlineStr">
        <is>
          <t>Iktatva</t>
        </is>
      </c>
      <c r="Q97" s="1" t="inlineStr">
        <is>
          <t>4336</t>
        </is>
      </c>
      <c r="R97" t="inlineStr">
        <is>
          <t>4796 **** **** 8958 20220512 102102 17368.00 HUF 5541 632346HU  ASZOD MOL Nyrt. Kisker., HB182472 1176832</t>
        </is>
      </c>
      <c r="U97" t="inlineStr">
        <is>
          <t>KÁRTYATRANZAKCIÓ</t>
        </is>
      </c>
      <c r="V97" t="inlineStr">
        <is>
          <t>2022-05-16</t>
        </is>
      </c>
      <c r="W97" t="inlineStr">
        <is>
          <t>{'transaction_date': '2022.05.16', 'transaction_id': '', 'transaction_cost_amount': '-17368', 'transaction_cost_currency': 'HUF', 'transaction_supplier_name': '', 'transaction_partner_account': '', 'transaction_message': '4796 **** **** 8958 20220512 102102 17368.00 HUF 5541 632346HU  ASZOD MOL Nyrt. Kisker., HB182472 1176832', 'transaction_type': 'KÁRTYATRANZAKCIÓ'}</t>
        </is>
      </c>
    </row>
    <row r="98">
      <c r="A98" t="inlineStr">
        <is>
          <t>EXP-2022-002374</t>
        </is>
      </c>
      <c r="B98" t="inlineStr">
        <is>
          <t>2022-05</t>
        </is>
      </c>
      <c r="C98" t="inlineStr">
        <is>
          <t>2022-05-12</t>
        </is>
      </c>
      <c r="D98" t="inlineStr">
        <is>
          <t>FJ webáruház</t>
        </is>
      </c>
      <c r="E98" t="inlineStr">
        <is>
          <t>Rendelés visszatérítés</t>
        </is>
      </c>
      <c r="F98" t="n">
        <v>5020</v>
      </c>
      <c r="G98" t="inlineStr">
        <is>
          <t>HUF</t>
        </is>
      </c>
      <c r="H98" t="n">
        <v>1</v>
      </c>
      <c r="I98" t="n">
        <v>27</v>
      </c>
      <c r="J98">
        <f>F98*H98</f>
        <v/>
      </c>
      <c r="K98">
        <f>(F98*H98) / ( 1 + I98 / 100)</f>
        <v/>
      </c>
      <c r="L98">
        <f>J98-K98</f>
        <v/>
      </c>
      <c r="M98" t="inlineStr">
        <is>
          <t>EGYÉB</t>
        </is>
      </c>
      <c r="N98" t="inlineStr">
        <is>
          <t>CIB BEVÉTELI SZÁMLA (511)</t>
        </is>
      </c>
      <c r="O98" t="inlineStr">
        <is>
          <t>Visszatérítés</t>
        </is>
      </c>
      <c r="P98" t="inlineStr">
        <is>
          <t>Nem kell iktatni</t>
        </is>
      </c>
      <c r="R98" t="inlineStr">
        <is>
          <t>10700244-19905202-51100005 Reichlin-Meldegg Győző Közlemény: téves utalás E-FJ-2022-8138</t>
        </is>
      </c>
      <c r="U98" t="inlineStr">
        <is>
          <t>ÁTUTALÁS</t>
        </is>
      </c>
      <c r="V98" t="inlineStr">
        <is>
          <t>2022-05-12</t>
        </is>
      </c>
      <c r="W98" t="inlineStr">
        <is>
          <t>{'transaction_date': '2022.05.12', 'transaction_id': '', 'transaction_cost_amount': '-5020', 'transaction_cost_currency': 'HUF', 'transaction_supplier_name': '', 'transaction_partner_account': '', 'transaction_message': '10700244-19905202-51100005 Reichlin-Meldegg Győző Közlemény: téves utalás E-FJ-2022-8138', 'transaction_type': 'ÁTUTALÁS'}</t>
        </is>
      </c>
    </row>
    <row r="99">
      <c r="A99" t="inlineStr">
        <is>
          <t>EXP-2022-002373</t>
        </is>
      </c>
      <c r="B99" t="inlineStr">
        <is>
          <t>2022-05</t>
        </is>
      </c>
      <c r="C99" t="inlineStr">
        <is>
          <t>2022-05-12</t>
        </is>
      </c>
      <c r="D99" t="inlineStr">
        <is>
          <t>CIB Bank</t>
        </is>
      </c>
      <c r="E99" t="inlineStr">
        <is>
          <t>Átutalás díja</t>
        </is>
      </c>
      <c r="F99" t="n">
        <v>83</v>
      </c>
      <c r="G99" t="inlineStr">
        <is>
          <t>HUF</t>
        </is>
      </c>
      <c r="H99" t="n">
        <v>1</v>
      </c>
      <c r="I99" t="n">
        <v>0</v>
      </c>
      <c r="J99">
        <f>F99*H99</f>
        <v/>
      </c>
      <c r="K99">
        <f>(F99*H99) / ( 1 + I99 / 100)</f>
        <v/>
      </c>
      <c r="L99">
        <f>J99-K99</f>
        <v/>
      </c>
      <c r="M99" t="inlineStr">
        <is>
          <t>ÁLLANDÓ KÖLTSÉG</t>
        </is>
      </c>
      <c r="N99" t="inlineStr">
        <is>
          <t>CIB BEVÉTELI SZÁMLA (511)</t>
        </is>
      </c>
      <c r="O99" t="inlineStr">
        <is>
          <t>Banki költség</t>
        </is>
      </c>
      <c r="P99" t="inlineStr">
        <is>
          <t>Nem kell iktatni</t>
        </is>
      </c>
      <c r="R99" t="inlineStr">
        <is>
          <t>AD-Bankközi átutalás GIRO-n HUF 83,25 CB3ADFKT1                 H0DX</t>
        </is>
      </c>
      <c r="U99" t="inlineStr">
        <is>
          <t>DÍJ, KAMAT</t>
        </is>
      </c>
      <c r="V99" t="inlineStr">
        <is>
          <t>2022-05-12</t>
        </is>
      </c>
      <c r="W99" t="inlineStr">
        <is>
          <t>{'transaction_date': '2022.05.12', 'transaction_id': '', 'transaction_cost_amount': '-83', 'transaction_cost_currency': 'HUF', 'transaction_supplier_name': '', 'transaction_partner_account': '', 'transaction_message': 'AD-Bankközi átutalás GIRO-n HUF 83,25 CB3ADFKT1                 H0DX', 'transaction_type': 'DÍJ, KAMAT'}</t>
        </is>
      </c>
    </row>
    <row r="100">
      <c r="A100" t="inlineStr">
        <is>
          <t>EXP-2022-002372</t>
        </is>
      </c>
      <c r="B100" t="inlineStr">
        <is>
          <t>2022-05</t>
        </is>
      </c>
      <c r="C100" t="inlineStr">
        <is>
          <t>2022-05-12</t>
        </is>
      </c>
      <c r="D100" t="inlineStr">
        <is>
          <t>Sztankó Ágnes</t>
        </is>
      </c>
      <c r="E100" t="inlineStr">
        <is>
          <t>Munkatársi fizetés</t>
        </is>
      </c>
      <c r="F100" t="n">
        <v>175000</v>
      </c>
      <c r="G100" t="inlineStr">
        <is>
          <t>HUF</t>
        </is>
      </c>
      <c r="H100" t="n">
        <v>1</v>
      </c>
      <c r="I100" t="n">
        <v>0</v>
      </c>
      <c r="J100">
        <f>F100*H100</f>
        <v/>
      </c>
      <c r="K100">
        <f>(F100*H100) / ( 1 + I100 / 100)</f>
        <v/>
      </c>
      <c r="L100">
        <f>J100-K100</f>
        <v/>
      </c>
      <c r="M100" t="inlineStr">
        <is>
          <t>ÁLLANDÓ KÖLTSÉG</t>
        </is>
      </c>
      <c r="N100" t="inlineStr">
        <is>
          <t>CIB BEVÉTELI SZÁMLA (511)</t>
        </is>
      </c>
      <c r="O100" t="inlineStr">
        <is>
          <t>Bérköltség</t>
        </is>
      </c>
      <c r="P100" t="inlineStr">
        <is>
          <t>Iktatva</t>
        </is>
      </c>
      <c r="Q100" s="1" t="inlineStr">
        <is>
          <t>3706</t>
        </is>
      </c>
      <c r="R100" t="inlineStr">
        <is>
          <t>12021006-01631688-00100006 Sztankó Ágnes Közlemény: E-SZTNK-2022-16</t>
        </is>
      </c>
      <c r="U100" t="inlineStr">
        <is>
          <t>ÁTUTALÁS</t>
        </is>
      </c>
      <c r="V100" t="inlineStr">
        <is>
          <t>2022-05-12</t>
        </is>
      </c>
      <c r="W100" t="inlineStr">
        <is>
          <t>{'transaction_date': '2022.05.12', 'transaction_id': '', 'transaction_cost_amount': '-175000', 'transaction_cost_currency': 'HUF', 'transaction_supplier_name': '', 'transaction_partner_account': '', 'transaction_message': '12021006-01631688-00100006 Sztankó Ágnes Közlemény: E-SZTNK-2022-16', 'transaction_type': 'ÁTUTALÁS'}</t>
        </is>
      </c>
    </row>
    <row r="101">
      <c r="A101" t="inlineStr">
        <is>
          <t>EXP-2022-002371</t>
        </is>
      </c>
      <c r="B101" t="inlineStr">
        <is>
          <t>2022-05</t>
        </is>
      </c>
      <c r="C101" t="inlineStr">
        <is>
          <t>2022-05-12</t>
        </is>
      </c>
      <c r="D101" t="inlineStr">
        <is>
          <t>CIB Bank</t>
        </is>
      </c>
      <c r="E101" t="inlineStr">
        <is>
          <t>Átutalás díja</t>
        </is>
      </c>
      <c r="F101" t="n">
        <v>83</v>
      </c>
      <c r="G101" t="inlineStr">
        <is>
          <t>HUF</t>
        </is>
      </c>
      <c r="H101" t="n">
        <v>1</v>
      </c>
      <c r="I101" t="n">
        <v>0</v>
      </c>
      <c r="J101">
        <f>F101*H101</f>
        <v/>
      </c>
      <c r="K101">
        <f>(F101*H101) / ( 1 + I101 / 100)</f>
        <v/>
      </c>
      <c r="L101">
        <f>J101-K101</f>
        <v/>
      </c>
      <c r="M101" t="inlineStr">
        <is>
          <t>ÁLLANDÓ KÖLTSÉG</t>
        </is>
      </c>
      <c r="N101" t="inlineStr">
        <is>
          <t>CIB BEVÉTELI SZÁMLA (511)</t>
        </is>
      </c>
      <c r="O101" t="inlineStr">
        <is>
          <t>Banki költség</t>
        </is>
      </c>
      <c r="P101" t="inlineStr">
        <is>
          <t>Nem kell iktatni</t>
        </is>
      </c>
      <c r="R101" t="inlineStr">
        <is>
          <t>AD-Bankközi átutalás GIRO-n HUF 83,25 CB3ADFKT1                 H0DV</t>
        </is>
      </c>
      <c r="U101" t="inlineStr">
        <is>
          <t>DÍJ, KAMAT</t>
        </is>
      </c>
      <c r="V101" t="inlineStr">
        <is>
          <t>2022-05-12</t>
        </is>
      </c>
      <c r="W101" t="inlineStr">
        <is>
          <t>{'transaction_date': '2022.05.12', 'transaction_id': '', 'transaction_cost_amount': '-83', 'transaction_cost_currency': 'HUF', 'transaction_supplier_name': '', 'transaction_partner_account': '', 'transaction_message': 'AD-Bankközi átutalás GIRO-n HUF 83,25 CB3ADFKT1                 H0DV', 'transaction_type': 'DÍJ, KAMAT'}</t>
        </is>
      </c>
    </row>
    <row r="102">
      <c r="A102" t="inlineStr">
        <is>
          <t>EXP-2022-002370</t>
        </is>
      </c>
      <c r="B102" t="inlineStr">
        <is>
          <t>2022-05</t>
        </is>
      </c>
      <c r="C102" t="inlineStr">
        <is>
          <t>2022-05-12</t>
        </is>
      </c>
      <c r="D102" t="inlineStr">
        <is>
          <t>FJ webáruház</t>
        </is>
      </c>
      <c r="E102" t="inlineStr">
        <is>
          <t>Rendelés visszatérítés</t>
        </is>
      </c>
      <c r="F102" t="n">
        <v>6135</v>
      </c>
      <c r="G102" t="inlineStr">
        <is>
          <t>HUF</t>
        </is>
      </c>
      <c r="H102" t="n">
        <v>1</v>
      </c>
      <c r="I102" t="n">
        <v>27</v>
      </c>
      <c r="J102">
        <f>F102*H102</f>
        <v/>
      </c>
      <c r="K102">
        <f>(F102*H102) / ( 1 + I102 / 100)</f>
        <v/>
      </c>
      <c r="L102">
        <f>J102-K102</f>
        <v/>
      </c>
      <c r="M102" t="inlineStr">
        <is>
          <t>EGYÉB</t>
        </is>
      </c>
      <c r="N102" t="inlineStr">
        <is>
          <t>CIB BEVÉTELI SZÁMLA (511)</t>
        </is>
      </c>
      <c r="O102" t="inlineStr">
        <is>
          <t>Visszatérítés</t>
        </is>
      </c>
      <c r="P102" t="inlineStr">
        <is>
          <t>Nem kell iktatni</t>
        </is>
      </c>
      <c r="R102" t="inlineStr">
        <is>
          <t>11600006-00000000-95015864 Capodarca Nikolett Közlemény: visszáru E-FJ-2022-7389</t>
        </is>
      </c>
      <c r="U102" t="inlineStr">
        <is>
          <t>ÁTUTALÁS</t>
        </is>
      </c>
      <c r="V102" t="inlineStr">
        <is>
          <t>2022-05-12</t>
        </is>
      </c>
      <c r="W102" t="inlineStr">
        <is>
          <t>{'transaction_date': '2022.05.12', 'transaction_id': '', 'transaction_cost_amount': '-6135', 'transaction_cost_currency': 'HUF', 'transaction_supplier_name': '', 'transaction_partner_account': '', 'transaction_message': '11600006-00000000-95015864 Capodarca Nikolett Közlemény: visszáru E-FJ-2022-7389', 'transaction_type': 'ÁTUTALÁS'}</t>
        </is>
      </c>
    </row>
    <row r="103">
      <c r="A103" t="inlineStr">
        <is>
          <t>EXP-2022-002369</t>
        </is>
      </c>
      <c r="B103" t="inlineStr">
        <is>
          <t>2022-05</t>
        </is>
      </c>
      <c r="C103" t="inlineStr">
        <is>
          <t>2022-05-12</t>
        </is>
      </c>
      <c r="D103" t="inlineStr">
        <is>
          <t>CIB Bank</t>
        </is>
      </c>
      <c r="E103" t="inlineStr">
        <is>
          <t>Átutalás díja</t>
        </is>
      </c>
      <c r="F103" t="n">
        <v>83</v>
      </c>
      <c r="G103" t="inlineStr">
        <is>
          <t>HUF</t>
        </is>
      </c>
      <c r="H103" t="n">
        <v>1</v>
      </c>
      <c r="I103" t="n">
        <v>0</v>
      </c>
      <c r="J103">
        <f>F103*H103</f>
        <v/>
      </c>
      <c r="K103">
        <f>(F103*H103) / ( 1 + I103 / 100)</f>
        <v/>
      </c>
      <c r="L103">
        <f>J103-K103</f>
        <v/>
      </c>
      <c r="M103" t="inlineStr">
        <is>
          <t>ÁLLANDÓ KÖLTSÉG</t>
        </is>
      </c>
      <c r="N103" t="inlineStr">
        <is>
          <t>CIB BEVÉTELI SZÁMLA (511)</t>
        </is>
      </c>
      <c r="O103" t="inlineStr">
        <is>
          <t>Banki költség</t>
        </is>
      </c>
      <c r="P103" t="inlineStr">
        <is>
          <t>Nem kell iktatni</t>
        </is>
      </c>
      <c r="R103" t="inlineStr">
        <is>
          <t>AD-Bankközi átutalás GIRO-n HUF 83,25 CB3ADFKT1                 H0DT</t>
        </is>
      </c>
      <c r="U103" t="inlineStr">
        <is>
          <t>DÍJ, KAMAT</t>
        </is>
      </c>
      <c r="V103" t="inlineStr">
        <is>
          <t>2022-05-12</t>
        </is>
      </c>
      <c r="W103" t="inlineStr">
        <is>
          <t>{'transaction_date': '2022.05.12', 'transaction_id': '', 'transaction_cost_amount': '-83', 'transaction_cost_currency': 'HUF', 'transaction_supplier_name': '', 'transaction_partner_account': '', 'transaction_message': 'AD-Bankközi átutalás GIRO-n HUF 83,25 CB3ADFKT1                 H0DT', 'transaction_type': 'DÍJ, KAMAT'}</t>
        </is>
      </c>
    </row>
    <row r="104">
      <c r="A104" t="inlineStr">
        <is>
          <t>EXP-2022-002368</t>
        </is>
      </c>
      <c r="B104" t="inlineStr">
        <is>
          <t>2022-05</t>
        </is>
      </c>
      <c r="C104" t="inlineStr">
        <is>
          <t>2022-05-12</t>
        </is>
      </c>
      <c r="D104" t="inlineStr">
        <is>
          <t>FJ webáruház</t>
        </is>
      </c>
      <c r="E104" t="inlineStr">
        <is>
          <t>Rendelés visszatérítés</t>
        </is>
      </c>
      <c r="F104" t="n">
        <v>5380</v>
      </c>
      <c r="G104" t="inlineStr">
        <is>
          <t>HUF</t>
        </is>
      </c>
      <c r="H104" t="n">
        <v>1</v>
      </c>
      <c r="I104" t="n">
        <v>27</v>
      </c>
      <c r="J104">
        <f>F104*H104</f>
        <v/>
      </c>
      <c r="K104">
        <f>(F104*H104) / ( 1 + I104 / 100)</f>
        <v/>
      </c>
      <c r="L104">
        <f>J104-K104</f>
        <v/>
      </c>
      <c r="M104" t="inlineStr">
        <is>
          <t>EGYÉB</t>
        </is>
      </c>
      <c r="N104" t="inlineStr">
        <is>
          <t>CIB BEVÉTELI SZÁMLA (511)</t>
        </is>
      </c>
      <c r="O104" t="inlineStr">
        <is>
          <t>Visszatérítés</t>
        </is>
      </c>
      <c r="P104" t="inlineStr">
        <is>
          <t>Nem kell iktatni</t>
        </is>
      </c>
      <c r="R104" t="inlineStr">
        <is>
          <t>11773229-05934834 Dócs Beatrix Közlemény: visszáru E-FJ-2022-8349</t>
        </is>
      </c>
      <c r="U104" t="inlineStr">
        <is>
          <t>ÁTUTALÁS</t>
        </is>
      </c>
      <c r="V104" t="inlineStr">
        <is>
          <t>2022-05-12</t>
        </is>
      </c>
      <c r="W104" t="inlineStr">
        <is>
          <t>{'transaction_date': '2022.05.12', 'transaction_id': '', 'transaction_cost_amount': '-5380', 'transaction_cost_currency': 'HUF', 'transaction_supplier_name': '', 'transaction_partner_account': '', 'transaction_message': '11773229-05934834 Dócs Beatrix Közlemény: visszáru E-FJ-2022-8349', 'transaction_type': 'ÁTUTALÁS'}</t>
        </is>
      </c>
    </row>
    <row r="105">
      <c r="A105" t="inlineStr">
        <is>
          <t>EXP-2022-002367</t>
        </is>
      </c>
      <c r="B105" t="inlineStr">
        <is>
          <t>2022-05</t>
        </is>
      </c>
      <c r="C105" t="inlineStr">
        <is>
          <t>2022-05-12</t>
        </is>
      </c>
      <c r="D105" t="inlineStr">
        <is>
          <t>CIB Bank</t>
        </is>
      </c>
      <c r="E105" t="inlineStr">
        <is>
          <t>Átutalás díja</t>
        </is>
      </c>
      <c r="F105" t="n">
        <v>83</v>
      </c>
      <c r="G105" t="inlineStr">
        <is>
          <t>HUF</t>
        </is>
      </c>
      <c r="H105" t="n">
        <v>1</v>
      </c>
      <c r="I105" t="n">
        <v>0</v>
      </c>
      <c r="J105">
        <f>F105*H105</f>
        <v/>
      </c>
      <c r="K105">
        <f>(F105*H105) / ( 1 + I105 / 100)</f>
        <v/>
      </c>
      <c r="L105">
        <f>J105-K105</f>
        <v/>
      </c>
      <c r="M105" t="inlineStr">
        <is>
          <t>ÁLLANDÓ KÖLTSÉG</t>
        </is>
      </c>
      <c r="N105" t="inlineStr">
        <is>
          <t>CIB BEVÉTELI SZÁMLA (511)</t>
        </is>
      </c>
      <c r="O105" t="inlineStr">
        <is>
          <t>Banki költség</t>
        </is>
      </c>
      <c r="P105" t="inlineStr">
        <is>
          <t>Nem kell iktatni</t>
        </is>
      </c>
      <c r="R105" t="inlineStr">
        <is>
          <t>AD-Bankközi átutalás GIRO-n HUF 83,25 CB3ADFKT1                 H02t</t>
        </is>
      </c>
      <c r="U105" t="inlineStr">
        <is>
          <t>DÍJ, KAMAT</t>
        </is>
      </c>
      <c r="V105" t="inlineStr">
        <is>
          <t>2022-05-12</t>
        </is>
      </c>
      <c r="W105" t="inlineStr">
        <is>
          <t>{'transaction_date': '2022.05.12', 'transaction_id': '', 'transaction_cost_amount': '-83', 'transaction_cost_currency': 'HUF', 'transaction_supplier_name': '', 'transaction_partner_account': '', 'transaction_message': 'AD-Bankközi átutalás GIRO-n HUF 83,25 CB3ADFKT1                 H02t', 'transaction_type': 'DÍJ, KAMAT'}</t>
        </is>
      </c>
    </row>
    <row r="106">
      <c r="A106" t="inlineStr">
        <is>
          <t>EXP-2022-002366</t>
        </is>
      </c>
      <c r="B106" t="inlineStr">
        <is>
          <t>2022-05</t>
        </is>
      </c>
      <c r="C106" t="inlineStr">
        <is>
          <t>2022-05-12</t>
        </is>
      </c>
      <c r="D106" t="inlineStr">
        <is>
          <t>Gekkofix Top Trade 2000 Bt.</t>
        </is>
      </c>
      <c r="E106" t="inlineStr">
        <is>
          <t>Gekko Árubeszerzés</t>
        </is>
      </c>
      <c r="F106" t="n">
        <v>92168</v>
      </c>
      <c r="G106" t="inlineStr">
        <is>
          <t>HUF</t>
        </is>
      </c>
      <c r="H106" t="n">
        <v>1</v>
      </c>
      <c r="I106" t="n">
        <v>27</v>
      </c>
      <c r="J106">
        <f>F106*H106</f>
        <v/>
      </c>
      <c r="K106">
        <f>(F106*H106) / ( 1 + I106 / 100)</f>
        <v/>
      </c>
      <c r="L106">
        <f>J106-K106</f>
        <v/>
      </c>
      <c r="M106" t="inlineStr">
        <is>
          <t>KÉSZLET BERUHÁZÁS</t>
        </is>
      </c>
      <c r="N106" t="inlineStr">
        <is>
          <t>CIB BEVÉTELI SZÁMLA (511)</t>
        </is>
      </c>
      <c r="O106" t="inlineStr">
        <is>
          <t>Anyagköltség</t>
        </is>
      </c>
      <c r="P106" t="inlineStr">
        <is>
          <t>Iktatva</t>
        </is>
      </c>
      <c r="Q106" s="1" t="inlineStr">
        <is>
          <t>3617</t>
        </is>
      </c>
      <c r="R106" t="inlineStr">
        <is>
          <t>11711003-21432246 Gekkofix Top Trade 2000 Bt. Közlemény: VSz-2022/00255</t>
        </is>
      </c>
      <c r="U106" t="inlineStr">
        <is>
          <t>ÁTUTALÁS</t>
        </is>
      </c>
      <c r="V106" t="inlineStr">
        <is>
          <t>2022-05-12</t>
        </is>
      </c>
      <c r="W106" t="inlineStr">
        <is>
          <t>{'transaction_date': '2022.05.12', 'transaction_id': '', 'transaction_cost_amount': '-92168', 'transaction_cost_currency': 'HUF', 'transaction_supplier_name': '', 'transaction_partner_account': '', 'transaction_message': '11711003-21432246 Gekkofix Top Trade 2000 Bt. Közlemény: VSz-2022/00255', 'transaction_type': 'ÁTUTALÁS'}</t>
        </is>
      </c>
    </row>
    <row r="107">
      <c r="A107" t="inlineStr">
        <is>
          <t>EXP-2022-002365</t>
        </is>
      </c>
      <c r="B107" t="inlineStr">
        <is>
          <t>2022-05</t>
        </is>
      </c>
      <c r="C107" t="inlineStr">
        <is>
          <t>2022-05-16</t>
        </is>
      </c>
      <c r="D107" t="inlineStr">
        <is>
          <t>FŐKÖNYVGURU Könyvelőiroda Kft.</t>
        </is>
      </c>
      <c r="E107" t="inlineStr">
        <is>
          <t>Könyvelés, bérszámfejtés</t>
        </is>
      </c>
      <c r="F107" t="n">
        <v>205359</v>
      </c>
      <c r="G107" t="inlineStr">
        <is>
          <t>HUF</t>
        </is>
      </c>
      <c r="H107" t="n">
        <v>1</v>
      </c>
      <c r="I107" t="n">
        <v>27</v>
      </c>
      <c r="J107">
        <f>F107*H107</f>
        <v/>
      </c>
      <c r="K107">
        <f>(F107*H107) / ( 1 + I107 / 100)</f>
        <v/>
      </c>
      <c r="L107">
        <f>J107-K107</f>
        <v/>
      </c>
      <c r="M107" t="inlineStr">
        <is>
          <t>ÁLLANDÓ KÖLTSÉG</t>
        </is>
      </c>
      <c r="N107" t="inlineStr">
        <is>
          <t>CIB BEVÉTELI SZÁMLA (511)</t>
        </is>
      </c>
      <c r="O107" t="inlineStr">
        <is>
          <t>Egyéb szolgáltatás</t>
        </is>
      </c>
      <c r="P107" t="inlineStr">
        <is>
          <t>Iktatva</t>
        </is>
      </c>
      <c r="Q107" s="1" t="inlineStr">
        <is>
          <t>3607</t>
        </is>
      </c>
      <c r="R107" t="inlineStr">
        <is>
          <t>10100840-56177500-01005003 FŐKÖNYVGURU Könyvelőiroda Kft. Közlemény: FGF-2022-332</t>
        </is>
      </c>
      <c r="U107" t="inlineStr">
        <is>
          <t>ÁTUTALÁS</t>
        </is>
      </c>
      <c r="V107" t="inlineStr">
        <is>
          <t>2022-05-16</t>
        </is>
      </c>
      <c r="W107" t="inlineStr">
        <is>
          <t>{'transaction_date': '2022.05.16', 'transaction_id': '', 'transaction_cost_amount': '-205359', 'transaction_cost_currency': 'HUF', 'transaction_supplier_name': '', 'transaction_partner_account': '', 'transaction_message': '10100840-56177500-01005003 FŐKÖNYVGURU Könyvelőiroda Kft. Közlemény: FGF-2022-332', 'transaction_type': 'ÁTUTALÁS'}</t>
        </is>
      </c>
    </row>
    <row r="108">
      <c r="A108" t="inlineStr">
        <is>
          <t>EXP-2022-002364</t>
        </is>
      </c>
      <c r="B108" t="inlineStr">
        <is>
          <t>2022-05</t>
        </is>
      </c>
      <c r="C108" t="inlineStr">
        <is>
          <t>2022-05-16</t>
        </is>
      </c>
      <c r="D108" t="inlineStr">
        <is>
          <t>CIB Bank</t>
        </is>
      </c>
      <c r="E108" t="inlineStr">
        <is>
          <t>Átutalás díja</t>
        </is>
      </c>
      <c r="F108" t="n">
        <v>88</v>
      </c>
      <c r="G108" t="inlineStr">
        <is>
          <t>HUF</t>
        </is>
      </c>
      <c r="H108" t="n">
        <v>1</v>
      </c>
      <c r="I108" t="n">
        <v>0</v>
      </c>
      <c r="J108">
        <f>F108*H108</f>
        <v/>
      </c>
      <c r="K108">
        <f>(F108*H108) / ( 1 + I108 / 100)</f>
        <v/>
      </c>
      <c r="L108">
        <f>J108-K108</f>
        <v/>
      </c>
      <c r="M108" t="inlineStr">
        <is>
          <t>ÁLLANDÓ KÖLTSÉG</t>
        </is>
      </c>
      <c r="N108" t="inlineStr">
        <is>
          <t>CIB BEVÉTELI SZÁMLA (511)</t>
        </is>
      </c>
      <c r="O108" t="inlineStr">
        <is>
          <t>Banki költség</t>
        </is>
      </c>
      <c r="P108" t="inlineStr">
        <is>
          <t>Nem kell iktatni</t>
        </is>
      </c>
      <c r="R108" t="inlineStr">
        <is>
          <t>AD-Bankközi átutalás GIRO-n HUF 88,30 CB3ADFKT1                 H0AB</t>
        </is>
      </c>
      <c r="U108" t="inlineStr">
        <is>
          <t>DÍJ, KAMAT</t>
        </is>
      </c>
      <c r="V108" t="inlineStr">
        <is>
          <t>2022-05-16</t>
        </is>
      </c>
      <c r="W108" t="inlineStr">
        <is>
          <t>{'transaction_date': '2022.05.16', 'transaction_id': '', 'transaction_cost_amount': '-88', 'transaction_cost_currency': 'HUF', 'transaction_supplier_name': '', 'transaction_partner_account': '', 'transaction_message': 'AD-Bankközi átutalás GIRO-n HUF 88,30 CB3ADFKT1                 H0AB', 'transaction_type': 'DÍJ, KAMAT'}</t>
        </is>
      </c>
    </row>
    <row r="109">
      <c r="A109" t="inlineStr">
        <is>
          <t>EXP-2022-002363</t>
        </is>
      </c>
      <c r="B109" t="inlineStr">
        <is>
          <t>2022-05</t>
        </is>
      </c>
      <c r="C109" t="inlineStr">
        <is>
          <t>2022-05-16</t>
        </is>
      </c>
      <c r="D109" t="inlineStr">
        <is>
          <t>K+R Kereskedelmi Kft.</t>
        </is>
      </c>
      <c r="E109" t="inlineStr">
        <is>
          <t>Árubeszerzés Cover Styl</t>
        </is>
      </c>
      <c r="F109" t="n">
        <v>806768</v>
      </c>
      <c r="G109" t="inlineStr">
        <is>
          <t>HUF</t>
        </is>
      </c>
      <c r="H109" t="n">
        <v>1</v>
      </c>
      <c r="I109" t="n">
        <v>27</v>
      </c>
      <c r="J109">
        <f>F109*H109</f>
        <v/>
      </c>
      <c r="K109">
        <f>(F109*H109) / ( 1 + I109 / 100)</f>
        <v/>
      </c>
      <c r="L109">
        <f>J109-K109</f>
        <v/>
      </c>
      <c r="M109" t="inlineStr">
        <is>
          <t>KÉSZLET BERUHÁZÁS</t>
        </is>
      </c>
      <c r="N109" t="inlineStr">
        <is>
          <t>CIB BEVÉTELI SZÁMLA (511)</t>
        </is>
      </c>
      <c r="O109" t="inlineStr">
        <is>
          <t>Anyagköltség</t>
        </is>
      </c>
      <c r="P109" t="inlineStr">
        <is>
          <t>Iktatni</t>
        </is>
      </c>
      <c r="R109" t="inlineStr">
        <is>
          <t>10700024-04337100-51100005 KR Kereskedelmi Kft. Közlemény: 1899ME2</t>
        </is>
      </c>
      <c r="U109" t="inlineStr">
        <is>
          <t>ÁTUTALÁS</t>
        </is>
      </c>
      <c r="V109" t="inlineStr">
        <is>
          <t>2022-05-16</t>
        </is>
      </c>
      <c r="W109" t="inlineStr">
        <is>
          <t>{'transaction_date': '2022.05.16', 'transaction_id': '', 'transaction_cost_amount': '-806768', 'transaction_cost_currency': 'HUF', 'transaction_supplier_name': '', 'transaction_partner_account': '', 'transaction_message': '10700024-04337100-51100005 KR Kereskedelmi Kft. Közlemény: 1899ME2', 'transaction_type': 'ÁTUTALÁS'}</t>
        </is>
      </c>
    </row>
  </sheetData>
  <hyperlinks>
    <hyperlink ref="Q2" r:id="rId1"/>
    <hyperlink ref="Q3" r:id="rId2"/>
    <hyperlink ref="Q9" r:id="rId3"/>
    <hyperlink ref="Q11" r:id="rId4"/>
    <hyperlink ref="Q17" r:id="rId5"/>
    <hyperlink ref="Q28" r:id="rId6"/>
    <hyperlink ref="Q29" r:id="rId7"/>
    <hyperlink ref="Q30" r:id="rId8"/>
    <hyperlink ref="Q31" r:id="rId9"/>
    <hyperlink ref="Q35" r:id="rId10"/>
    <hyperlink ref="Q36" r:id="rId11"/>
    <hyperlink ref="Q38" r:id="rId12"/>
    <hyperlink ref="Q51" r:id="rId13"/>
    <hyperlink ref="Q53" r:id="rId14"/>
    <hyperlink ref="Q68" r:id="rId15"/>
    <hyperlink ref="Q75" r:id="rId16"/>
    <hyperlink ref="Q77" r:id="rId17"/>
    <hyperlink ref="Q78" r:id="rId18"/>
    <hyperlink ref="Q81" r:id="rId19"/>
    <hyperlink ref="Q83" r:id="rId20"/>
    <hyperlink ref="Q85" r:id="rId21"/>
    <hyperlink ref="Q90" r:id="rId22"/>
    <hyperlink ref="Q94" r:id="rId23"/>
    <hyperlink ref="Q95" r:id="rId24"/>
    <hyperlink ref="Q96" r:id="rId25"/>
    <hyperlink ref="Q97" r:id="rId26"/>
    <hyperlink ref="Q100" r:id="rId27"/>
    <hyperlink ref="Q106" r:id="rId28"/>
    <hyperlink ref="Q107" r:id="rId29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2022-06-11T11:11:08Z</dcterms:created>
  <dcterms:modified xsi:type="dcterms:W3CDTF">2022-06-11T11:11:08Z</dcterms:modified>
</cp:coreProperties>
</file>